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Matrix" sheetId="2" state="visible" r:id="rId2"/>
    <sheet name="Mix Check" sheetId="3" state="visible" r:id="rId3"/>
    <sheet name="Sourcing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3B4D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8" min="1" max="1"/>
    <col width="105" customWidth="1" style="18" min="2" max="2"/>
  </cols>
  <sheetData>
    <row r="1" ht="15" customHeight="1" s="19">
      <c r="A1" s="20" t="inlineStr">
        <is>
          <t>AYE SI CENA - COSTED FUSION MATRIX</t>
        </is>
      </c>
      <c r="B1" s="21" t="n"/>
    </row>
    <row r="2" ht="15" customHeight="1" s="19">
      <c r="A2" s="22" t="n"/>
      <c r="B2" s="21" t="n"/>
    </row>
    <row r="3" ht="15" customHeight="1" s="19">
      <c r="A3" s="23" t="inlineStr">
        <is>
          <t>What this is</t>
        </is>
      </c>
      <c r="B3" s="21" t="inlineStr">
        <is>
          <t>150 dishes: Scottish-led (77), with English, Greek, Nordic, Basque and disputed-origin entries, plus a 22-dish Peruvian-base block where the fusion runs the other way - a Peruvian dish with the Scottish or European swap made on top of it.</t>
        </is>
      </c>
    </row>
    <row r="4" ht="15" customHeight="1" s="19">
      <c r="A4" s="22" t="n"/>
      <c r="B4" s="21" t="n"/>
    </row>
    <row r="5" ht="15" customHeight="1" s="19">
      <c r="A5" s="24" t="inlineStr">
        <is>
          <t>READ THIS FIRST</t>
        </is>
      </c>
      <c r="B5" s="25" t="inlineStr">
        <is>
          <t>Every figure in 'Est. food cost (S/)' is an ESTIMATE produced without a market run.</t>
        </is>
      </c>
    </row>
    <row r="6" ht="15" customHeight="1" s="19">
      <c r="A6" s="23" t="n"/>
      <c r="B6" s="21" t="inlineStr">
        <is>
          <t>They are order-of-magnitude only and MUST be replaced with real prices before you quote a client.</t>
        </is>
      </c>
    </row>
    <row r="7" ht="15" customHeight="1" s="19">
      <c r="A7" s="23" t="n"/>
      <c r="B7" s="21" t="inlineStr">
        <is>
          <t>Prices are PEN, per portion, Lima 2026. 'Cost verified?' is 'No' on every row until you fix that.</t>
        </is>
      </c>
    </row>
    <row r="8" ht="15" customHeight="1" s="19">
      <c r="A8" s="22" t="n"/>
      <c r="B8" s="21" t="n"/>
    </row>
    <row r="9" ht="15" customHeight="1" s="19">
      <c r="A9" s="23" t="inlineStr">
        <is>
          <t>How to use it</t>
        </is>
      </c>
      <c r="B9" s="21" t="inlineStr">
        <is>
          <t>1. Do one market run. Record what you actually paid.</t>
        </is>
      </c>
    </row>
    <row r="10" ht="15" customHeight="1" s="19">
      <c r="A10" s="23" t="n"/>
      <c r="B10" s="21" t="inlineStr">
        <is>
          <t>2. Overwrite the blue cost cells. Set 'Cost verified?' to Yes.</t>
        </is>
      </c>
    </row>
    <row r="11" ht="15" customHeight="1" s="19">
      <c r="A11" s="23" t="n"/>
      <c r="B11" s="21" t="inlineStr">
        <is>
          <t>3. Watch the Food cost % column: target 25-30%. Red above 32%.</t>
        </is>
      </c>
    </row>
    <row r="12" ht="15" customHeight="1" s="19">
      <c r="A12" s="23" t="n"/>
      <c r="B12" s="21" t="inlineStr">
        <is>
          <t>4. Check the Mix Check tab - it enforces the Scottish-led ratio.</t>
        </is>
      </c>
    </row>
    <row r="13" ht="15" customHeight="1" s="19">
      <c r="A13" s="22" t="n"/>
      <c r="B13" s="21" t="n"/>
    </row>
    <row r="14" ht="15" customHeight="1" s="19">
      <c r="A14" s="23" t="inlineStr">
        <is>
          <t>Editable cells</t>
        </is>
      </c>
      <c r="B14" s="21" t="inlineStr">
        <is>
          <t>Blue text = your inputs (cost, price). Black = formulas. Do not overwrite formulas.</t>
        </is>
      </c>
    </row>
    <row r="15" ht="15" customHeight="1" s="19">
      <c r="A15" s="22" t="n"/>
      <c r="B15" s="21" t="n"/>
    </row>
    <row r="16" ht="15" customHeight="1" s="19">
      <c r="A16" s="23" t="inlineStr">
        <is>
          <t>Service format</t>
        </is>
      </c>
      <c r="B16" s="21" t="inlineStr">
        <is>
          <t>Drop-off = survives a van. Buffet = holds on a hot line. Plated = needs a brigade.</t>
        </is>
      </c>
    </row>
    <row r="17" ht="15" customHeight="1" s="19">
      <c r="A17" s="23" t="n"/>
      <c r="B17" s="21" t="inlineStr">
        <is>
          <t>Live station = you cook it in front of the guest. Never sell a Live station dish as drop-off.</t>
        </is>
      </c>
    </row>
    <row r="18" ht="15" customHeight="1" s="19">
      <c r="A18" s="22" t="n"/>
      <c r="B18" s="21" t="n"/>
    </row>
    <row r="19" ht="15" customHeight="1" s="19">
      <c r="A19" s="23" t="inlineStr">
        <is>
          <t>Not included</t>
        </is>
      </c>
      <c r="B19" s="21" t="inlineStr">
        <is>
          <t>Drinks. 115 of these 130 dishes are sellable before the giro especial clears;</t>
        </is>
      </c>
    </row>
    <row r="20" ht="15" customHeight="1" s="19">
      <c r="A20" s="23" t="n"/>
      <c r="B20" s="21" t="inlineStr">
        <is>
          <t>the 15 flagged 'Needs liquor licence' are not. Filter on that column before publishing a menu.</t>
        </is>
      </c>
    </row>
    <row r="21" ht="15" customHeight="1" s="19">
      <c r="A21" s="22" t="n"/>
      <c r="B21" s="21" t="n"/>
    </row>
    <row r="22" ht="15" customHeight="1" s="19">
      <c r="A22" s="23" t="inlineStr">
        <is>
          <t>Annual fixtures</t>
        </is>
      </c>
      <c r="B22" s="21" t="inlineStr">
        <is>
          <t>Burns Night 25 Jan (haggis, neeps, tatties, cranachan, clootie dumpling).</t>
        </is>
      </c>
    </row>
    <row r="23" ht="15" customHeight="1" s="19">
      <c r="A23" s="23" t="n"/>
      <c r="B23" s="21" t="inlineStr">
        <is>
          <t>Hogmanay 31 Dec (black bun, steak pie). St Andrew's Day 30 Nov.</t>
        </is>
      </c>
    </row>
    <row r="24" ht="15" customHeight="1" s="19">
      <c r="A24" s="23" t="n"/>
      <c r="B24" s="21" t="inlineStr">
        <is>
          <t>These are bookable products with fixed menus, not menu items.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2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8" min="1" max="1"/>
    <col width="30" customWidth="1" style="18" min="2" max="2"/>
    <col width="26" customWidth="1" style="18" min="3" max="3"/>
    <col width="22" customWidth="1" style="18" min="4" max="4"/>
    <col width="12" customWidth="1" style="18" min="5" max="5"/>
    <col width="62" customWidth="1" style="18" min="6" max="6"/>
    <col width="14" customWidth="1" style="18" min="7" max="7"/>
    <col width="12" customWidth="1" style="18" min="8" max="8"/>
    <col width="7" customWidth="1" style="18" min="9" max="9"/>
    <col width="32" customWidth="1" style="18" min="10" max="10"/>
    <col width="34" customWidth="1" style="18" min="11" max="11"/>
    <col width="14" customWidth="1" style="18" min="12" max="12"/>
    <col width="15" customWidth="1" style="18" min="13" max="13"/>
    <col width="12" customWidth="1" style="18" min="14" max="14"/>
    <col width="15" customWidth="1" style="18" min="15" max="15"/>
    <col width="24" customWidth="1" style="18" min="16" max="16"/>
  </cols>
  <sheetData>
    <row r="1" ht="23.85" customHeight="1" s="19">
      <c r="A1" s="26" t="inlineStr">
        <is>
          <t>ID</t>
        </is>
      </c>
      <c r="B1" s="26" t="inlineStr">
        <is>
          <t>Dish</t>
        </is>
      </c>
      <c r="C1" s="26" t="inlineStr">
        <is>
          <t>Origin dish</t>
        </is>
      </c>
      <c r="D1" s="26" t="inlineStr">
        <is>
          <t>Sub-origin</t>
        </is>
      </c>
      <c r="E1" s="26" t="inlineStr">
        <is>
          <t>Category</t>
        </is>
      </c>
      <c r="F1" s="26" t="inlineStr">
        <is>
          <t>Peruvian fusion</t>
        </is>
      </c>
      <c r="G1" s="26" t="inlineStr">
        <is>
          <t>Service format</t>
        </is>
      </c>
      <c r="H1" s="26" t="inlineStr">
        <is>
          <t>Needs liquor licence</t>
        </is>
      </c>
      <c r="I1" s="26" t="inlineStr">
        <is>
          <t>Veg</t>
        </is>
      </c>
      <c r="J1" s="26" t="inlineStr">
        <is>
          <t>Key local ingredients</t>
        </is>
      </c>
      <c r="K1" s="26" t="inlineStr">
        <is>
          <t>Primary Lima source</t>
        </is>
      </c>
      <c r="L1" s="26" t="inlineStr">
        <is>
          <t>Est. food cost (S/)</t>
        </is>
      </c>
      <c r="M1" s="26" t="inlineStr">
        <is>
          <t>Suggested price (S/)</t>
        </is>
      </c>
      <c r="N1" s="26" t="inlineStr">
        <is>
          <t>Food cost %</t>
        </is>
      </c>
      <c r="O1" s="26" t="inlineStr">
        <is>
          <t>Cost verified?</t>
        </is>
      </c>
      <c r="P1" s="26" t="inlineStr">
        <is>
          <t>Action</t>
        </is>
      </c>
    </row>
    <row r="2" ht="23.85" customHeight="1" s="19">
      <c r="A2" s="27" t="n">
        <v>1</v>
      </c>
      <c r="B2" s="27" t="inlineStr">
        <is>
          <t>Haggis Bonbons</t>
        </is>
      </c>
      <c r="C2" s="27" t="inlineStr">
        <is>
          <t>Haggis</t>
        </is>
      </c>
      <c r="D2" s="27" t="inlineStr">
        <is>
          <t>Scottish</t>
        </is>
      </c>
      <c r="E2" s="27" t="inlineStr">
        <is>
          <t>Canape</t>
        </is>
      </c>
      <c r="F2" s="27" t="inlineStr">
        <is>
          <t>Crumbed and fried; aji panca in the breadcrumb, huacatay aioli. Offal is familiar to Peruvian palates - this is the least intimidating way in.</t>
        </is>
      </c>
      <c r="G2" s="27" t="inlineStr">
        <is>
          <t>Drop-off</t>
        </is>
      </c>
      <c r="H2" s="27" t="inlineStr">
        <is>
          <t>No</t>
        </is>
      </c>
      <c r="I2" s="27" t="inlineStr">
        <is>
          <t>No</t>
        </is>
      </c>
      <c r="J2" s="27" t="inlineStr">
        <is>
          <t>Lamb offal, oats, aji panca, huacatay</t>
        </is>
      </c>
      <c r="K2" s="27" t="inlineStr">
        <is>
          <t>Mercado de Magdalena (offal); Makro (oats)</t>
        </is>
      </c>
      <c r="L2" s="28" t="n">
        <v>2.2</v>
      </c>
      <c r="M2" s="29" t="n">
        <v>8</v>
      </c>
      <c r="N2" s="30">
        <f>IFERROR(L2/M2,"")</f>
        <v/>
      </c>
      <c r="O2" s="31" t="inlineStr">
        <is>
          <t>No - estimate</t>
        </is>
      </c>
      <c r="P2" s="31">
        <f>IF(N2="","",IF(N2&gt;0.32,"Reprice or resource",IF(N2&lt;0.2,"Check cost is realistic","OK")))</f>
        <v/>
      </c>
    </row>
    <row r="3" ht="23.85" customHeight="1" s="19">
      <c r="A3" s="27" t="n">
        <v>2</v>
      </c>
      <c r="B3" s="27" t="inlineStr">
        <is>
          <t>Morcilla &amp; Apple Empanadas</t>
        </is>
      </c>
      <c r="C3" s="27" t="inlineStr">
        <is>
          <t>Black pudding</t>
        </is>
      </c>
      <c r="D3" s="27" t="inlineStr">
        <is>
          <t>Scottish</t>
        </is>
      </c>
      <c r="E3" s="27" t="inlineStr">
        <is>
          <t>Canape</t>
        </is>
      </c>
      <c r="F3" s="27" t="inlineStr">
        <is>
          <t>Peruvian empanada dough around morcilla reworked with oats, mace and white pepper; rocoto-apple chutney.</t>
        </is>
      </c>
      <c r="G3" s="27" t="inlineStr">
        <is>
          <t>Drop-off</t>
        </is>
      </c>
      <c r="H3" s="27" t="inlineStr">
        <is>
          <t>No</t>
        </is>
      </c>
      <c r="I3" s="27" t="inlineStr">
        <is>
          <t>No</t>
        </is>
      </c>
      <c r="J3" s="27" t="inlineStr">
        <is>
          <t>Artisanal morcilla, rocoto, manzana israel</t>
        </is>
      </c>
      <c r="K3" s="27" t="inlineStr">
        <is>
          <t>Artisanal butcher, Surquillo N.1</t>
        </is>
      </c>
      <c r="L3" s="28" t="n">
        <v>2.5</v>
      </c>
      <c r="M3" s="29" t="n">
        <v>9</v>
      </c>
      <c r="N3" s="30">
        <f>IFERROR(L3/M3,"")</f>
        <v/>
      </c>
      <c r="O3" s="31" t="inlineStr">
        <is>
          <t>No - estimate</t>
        </is>
      </c>
      <c r="P3" s="31">
        <f>IF(N3="","",IF(N3&gt;0.32,"Reprice or resource",IF(N3&lt;0.2,"Check cost is realistic","OK")))</f>
        <v/>
      </c>
    </row>
    <row r="4" ht="23.85" customHeight="1" s="19">
      <c r="A4" s="27" t="n">
        <v>3</v>
      </c>
      <c r="B4" s="27" t="inlineStr">
        <is>
          <t>Smoked Trout Oatcakes</t>
        </is>
      </c>
      <c r="C4" s="27" t="inlineStr">
        <is>
          <t>Oatcakes with smoked fish</t>
        </is>
      </c>
      <c r="D4" s="27" t="inlineStr">
        <is>
          <t>Scottish</t>
        </is>
      </c>
      <c r="E4" s="27" t="inlineStr">
        <is>
          <t>Canape</t>
        </is>
      </c>
      <c r="F4" s="27" t="inlineStr">
        <is>
          <t>Highland oatcake topped with Andean smoked trout and a crowdie-style fresh cheese.</t>
        </is>
      </c>
      <c r="G4" s="27" t="inlineStr">
        <is>
          <t>Drop-off</t>
        </is>
      </c>
      <c r="H4" s="27" t="inlineStr">
        <is>
          <t>No</t>
        </is>
      </c>
      <c r="I4" s="27" t="inlineStr">
        <is>
          <t>No</t>
        </is>
      </c>
      <c r="J4" s="27" t="inlineStr">
        <is>
          <t>Trucha andina, queso fresco</t>
        </is>
      </c>
      <c r="K4" s="27" t="inlineStr">
        <is>
          <t>Terminal Pesquero VMT; Surquillo N.1</t>
        </is>
      </c>
      <c r="L4" s="28" t="n">
        <v>3</v>
      </c>
      <c r="M4" s="29" t="n">
        <v>10</v>
      </c>
      <c r="N4" s="30">
        <f>IFERROR(L4/M4,"")</f>
        <v/>
      </c>
      <c r="O4" s="31" t="inlineStr">
        <is>
          <t>No - estimate</t>
        </is>
      </c>
      <c r="P4" s="31">
        <f>IF(N4="","",IF(N4&gt;0.32,"Reprice or resource",IF(N4&lt;0.2,"Check cost is realistic","OK")))</f>
        <v/>
      </c>
    </row>
    <row r="5" ht="15" customHeight="1" s="19">
      <c r="A5" s="27" t="n">
        <v>4</v>
      </c>
      <c r="B5" s="27" t="inlineStr">
        <is>
          <t>Mini Forfar Bridies</t>
        </is>
      </c>
      <c r="C5" s="27" t="inlineStr">
        <is>
          <t>Forfar bridie</t>
        </is>
      </c>
      <c r="D5" s="27" t="inlineStr">
        <is>
          <t>Scottish</t>
        </is>
      </c>
      <c r="E5" s="27" t="inlineStr">
        <is>
          <t>Canape</t>
        </is>
      </c>
      <c r="F5" s="27" t="inlineStr">
        <is>
          <t>Shortcrust hand pie; local beef mince lifted with aji amarillo and native onion.</t>
        </is>
      </c>
      <c r="G5" s="27" t="inlineStr">
        <is>
          <t>Drop-off</t>
        </is>
      </c>
      <c r="H5" s="27" t="inlineStr">
        <is>
          <t>No</t>
        </is>
      </c>
      <c r="I5" s="27" t="inlineStr">
        <is>
          <t>No</t>
        </is>
      </c>
      <c r="J5" s="27" t="inlineStr">
        <is>
          <t>Beef mince, aji amarillo, cebolla roja</t>
        </is>
      </c>
      <c r="K5" s="27" t="inlineStr">
        <is>
          <t>Oregon Foods; Surquillo N.1</t>
        </is>
      </c>
      <c r="L5" s="28" t="n">
        <v>3.2</v>
      </c>
      <c r="M5" s="29" t="n">
        <v>11</v>
      </c>
      <c r="N5" s="30">
        <f>IFERROR(L5/M5,"")</f>
        <v/>
      </c>
      <c r="O5" s="31" t="inlineStr">
        <is>
          <t>No - estimate</t>
        </is>
      </c>
      <c r="P5" s="31">
        <f>IF(N5="","",IF(N5&gt;0.32,"Reprice or resource",IF(N5&lt;0.2,"Check cost is realistic","OK")))</f>
        <v/>
      </c>
    </row>
    <row r="6" ht="23.85" customHeight="1" s="19">
      <c r="A6" s="27" t="n">
        <v>5</v>
      </c>
      <c r="B6" s="27" t="inlineStr">
        <is>
          <t>Scotch Pie Minis</t>
        </is>
      </c>
      <c r="C6" s="27" t="inlineStr">
        <is>
          <t>Scotch pie</t>
        </is>
      </c>
      <c r="D6" s="27" t="inlineStr">
        <is>
          <t>Scottish</t>
        </is>
      </c>
      <c r="E6" s="27" t="inlineStr">
        <is>
          <t>Canape</t>
        </is>
      </c>
      <c r="F6" s="27" t="inlineStr">
        <is>
          <t>Hot-water crust filled with spiced cordero and aji panca instead of mace-only mutton.</t>
        </is>
      </c>
      <c r="G6" s="27" t="inlineStr">
        <is>
          <t>Drop-off</t>
        </is>
      </c>
      <c r="H6" s="27" t="inlineStr">
        <is>
          <t>No</t>
        </is>
      </c>
      <c r="I6" s="27" t="inlineStr">
        <is>
          <t>No</t>
        </is>
      </c>
      <c r="J6" s="27" t="inlineStr">
        <is>
          <t>Cordero, aji panca, comino</t>
        </is>
      </c>
      <c r="K6" s="27" t="inlineStr">
        <is>
          <t>Mercado de Magdalena</t>
        </is>
      </c>
      <c r="L6" s="28" t="n">
        <v>3</v>
      </c>
      <c r="M6" s="29" t="n">
        <v>11</v>
      </c>
      <c r="N6" s="30">
        <f>IFERROR(L6/M6,"")</f>
        <v/>
      </c>
      <c r="O6" s="31" t="inlineStr">
        <is>
          <t>No - estimate</t>
        </is>
      </c>
      <c r="P6" s="31">
        <f>IF(N6="","",IF(N6&gt;0.32,"Reprice or resource",IF(N6&lt;0.2,"Check cost is realistic","OK")))</f>
        <v/>
      </c>
    </row>
    <row r="7" ht="15" customHeight="1" s="19">
      <c r="A7" s="27" t="n">
        <v>6</v>
      </c>
      <c r="B7" s="27" t="inlineStr">
        <is>
          <t>Haggis Sausage Rolls</t>
        </is>
      </c>
      <c r="C7" s="27" t="inlineStr">
        <is>
          <t>Sausage roll</t>
        </is>
      </c>
      <c r="D7" s="27" t="inlineStr">
        <is>
          <t>Scottish</t>
        </is>
      </c>
      <c r="E7" s="27" t="inlineStr">
        <is>
          <t>Canape</t>
        </is>
      </c>
      <c r="F7" s="27" t="inlineStr">
        <is>
          <t>Puff pastry, haggis-spiced filling, glazed with a chancaca brown sauce.</t>
        </is>
      </c>
      <c r="G7" s="27" t="inlineStr">
        <is>
          <t>Drop-off</t>
        </is>
      </c>
      <c r="H7" s="27" t="inlineStr">
        <is>
          <t>No</t>
        </is>
      </c>
      <c r="I7" s="27" t="inlineStr">
        <is>
          <t>No</t>
        </is>
      </c>
      <c r="J7" s="27" t="inlineStr">
        <is>
          <t>Lamb, oats, chancaca</t>
        </is>
      </c>
      <c r="K7" s="27" t="inlineStr">
        <is>
          <t>Mercado de Magdalena; Surquillo N.1</t>
        </is>
      </c>
      <c r="L7" s="28" t="n">
        <v>2.6</v>
      </c>
      <c r="M7" s="29" t="n">
        <v>9</v>
      </c>
      <c r="N7" s="30">
        <f>IFERROR(L7/M7,"")</f>
        <v/>
      </c>
      <c r="O7" s="31" t="inlineStr">
        <is>
          <t>No - estimate</t>
        </is>
      </c>
      <c r="P7" s="31">
        <f>IF(N7="","",IF(N7&gt;0.32,"Reprice or resource",IF(N7&lt;0.2,"Check cost is realistic","OK")))</f>
        <v/>
      </c>
    </row>
    <row r="8" ht="23.85" customHeight="1" s="19">
      <c r="A8" s="27" t="n">
        <v>7</v>
      </c>
      <c r="B8" s="27" t="inlineStr">
        <is>
          <t>Cullen Skink Croquettes</t>
        </is>
      </c>
      <c r="C8" s="27" t="inlineStr">
        <is>
          <t>Cullen skink</t>
        </is>
      </c>
      <c r="D8" s="27" t="inlineStr">
        <is>
          <t>Scottish</t>
        </is>
      </c>
      <c r="E8" s="27" t="inlineStr">
        <is>
          <t>Canape</t>
        </is>
      </c>
      <c r="F8" s="27" t="inlineStr">
        <is>
          <t>The No.1-ranked Scottish dish as a bite: smoked paiche and native yellow potato, crumbed.</t>
        </is>
      </c>
      <c r="G8" s="27" t="inlineStr">
        <is>
          <t>Drop-off</t>
        </is>
      </c>
      <c r="H8" s="27" t="inlineStr">
        <is>
          <t>No</t>
        </is>
      </c>
      <c r="I8" s="27" t="inlineStr">
        <is>
          <t>No</t>
        </is>
      </c>
      <c r="J8" s="27" t="inlineStr">
        <is>
          <t>Paiche ahumado, papa amarilla</t>
        </is>
      </c>
      <c r="K8" s="27" t="inlineStr">
        <is>
          <t>Terminal Pesquero VMT</t>
        </is>
      </c>
      <c r="L8" s="28" t="n">
        <v>3.4</v>
      </c>
      <c r="M8" s="29" t="n">
        <v>12</v>
      </c>
      <c r="N8" s="30">
        <f>IFERROR(L8/M8,"")</f>
        <v/>
      </c>
      <c r="O8" s="31" t="inlineStr">
        <is>
          <t>No - estimate</t>
        </is>
      </c>
      <c r="P8" s="31">
        <f>IF(N8="","",IF(N8&gt;0.32,"Reprice or resource",IF(N8&lt;0.2,"Check cost is realistic","OK")))</f>
        <v/>
      </c>
    </row>
    <row r="9" ht="23.85" customHeight="1" s="19">
      <c r="A9" s="27" t="n">
        <v>8</v>
      </c>
      <c r="B9" s="27" t="inlineStr">
        <is>
          <t>Lorne Sausage Sliders</t>
        </is>
      </c>
      <c r="C9" s="27" t="inlineStr">
        <is>
          <t>Lorne (square) sausage</t>
        </is>
      </c>
      <c r="D9" s="27" t="inlineStr">
        <is>
          <t>Scottish</t>
        </is>
      </c>
      <c r="E9" s="27" t="inlineStr">
        <is>
          <t>Canape</t>
        </is>
      </c>
      <c r="F9" s="27" t="inlineStr">
        <is>
          <t>Square sausage in a mini pan francés with salsa criolla in place of brown sauce.</t>
        </is>
      </c>
      <c r="G9" s="27" t="inlineStr">
        <is>
          <t>Drop-off</t>
        </is>
      </c>
      <c r="H9" s="27" t="inlineStr">
        <is>
          <t>No</t>
        </is>
      </c>
      <c r="I9" s="27" t="inlineStr">
        <is>
          <t>No</t>
        </is>
      </c>
      <c r="J9" s="27" t="inlineStr">
        <is>
          <t>Beef/pork mince, cebolla, limon</t>
        </is>
      </c>
      <c r="K9" s="27" t="inlineStr">
        <is>
          <t>Makro; local bakery</t>
        </is>
      </c>
      <c r="L9" s="28" t="n">
        <v>3</v>
      </c>
      <c r="M9" s="29" t="n">
        <v>10</v>
      </c>
      <c r="N9" s="30">
        <f>IFERROR(L9/M9,"")</f>
        <v/>
      </c>
      <c r="O9" s="31" t="inlineStr">
        <is>
          <t>No - estimate</t>
        </is>
      </c>
      <c r="P9" s="31">
        <f>IF(N9="","",IF(N9&gt;0.32,"Reprice or resource",IF(N9&lt;0.2,"Check cost is realistic","OK")))</f>
        <v/>
      </c>
    </row>
    <row r="10" ht="23.85" customHeight="1" s="19">
      <c r="A10" s="27" t="n">
        <v>9</v>
      </c>
      <c r="B10" s="27" t="inlineStr">
        <is>
          <t>Tattie Scone &amp; Black Pudding Bites</t>
        </is>
      </c>
      <c r="C10" s="27" t="inlineStr">
        <is>
          <t>Tattie scone</t>
        </is>
      </c>
      <c r="D10" s="27" t="inlineStr">
        <is>
          <t>Scottish</t>
        </is>
      </c>
      <c r="E10" s="27" t="inlineStr">
        <is>
          <t>Canape</t>
        </is>
      </c>
      <c r="F10" s="27" t="inlineStr">
        <is>
          <t>Griddled native-yellow-potato scone as the base, morcilla and a quail egg on top.</t>
        </is>
      </c>
      <c r="G10" s="27" t="inlineStr">
        <is>
          <t>Live station</t>
        </is>
      </c>
      <c r="H10" s="27" t="inlineStr">
        <is>
          <t>No</t>
        </is>
      </c>
      <c r="I10" s="27" t="inlineStr">
        <is>
          <t>No</t>
        </is>
      </c>
      <c r="J10" s="27" t="inlineStr">
        <is>
          <t>Papa amarilla, morcilla, huevo de codorniz</t>
        </is>
      </c>
      <c r="K10" s="27" t="inlineStr">
        <is>
          <t>Surquillo N.1; artisanal butcher</t>
        </is>
      </c>
      <c r="L10" s="28" t="n">
        <v>2.8</v>
      </c>
      <c r="M10" s="29" t="n">
        <v>10</v>
      </c>
      <c r="N10" s="30">
        <f>IFERROR(L10/M10,"")</f>
        <v/>
      </c>
      <c r="O10" s="31" t="inlineStr">
        <is>
          <t>No - estimate</t>
        </is>
      </c>
      <c r="P10" s="31">
        <f>IF(N10="","",IF(N10&gt;0.32,"Reprice or resource",IF(N10&lt;0.2,"Check cost is realistic","OK")))</f>
        <v/>
      </c>
    </row>
    <row r="11" ht="23.85" customHeight="1" s="19">
      <c r="A11" s="27" t="n">
        <v>10</v>
      </c>
      <c r="B11" s="27" t="inlineStr">
        <is>
          <t>Potted Hough Toasts</t>
        </is>
      </c>
      <c r="C11" s="27" t="inlineStr">
        <is>
          <t>Potted hough</t>
        </is>
      </c>
      <c r="D11" s="27" t="inlineStr">
        <is>
          <t>Scottish</t>
        </is>
      </c>
      <c r="E11" s="27" t="inlineStr">
        <is>
          <t>Canape</t>
        </is>
      </c>
      <c r="F11" s="27" t="inlineStr">
        <is>
          <t>Cold-set beef shin terrine on toast with aji limo pickle. Cheap cut, zero service risk.</t>
        </is>
      </c>
      <c r="G11" s="27" t="inlineStr">
        <is>
          <t>Drop-off</t>
        </is>
      </c>
      <c r="H11" s="27" t="inlineStr">
        <is>
          <t>No</t>
        </is>
      </c>
      <c r="I11" s="27" t="inlineStr">
        <is>
          <t>No</t>
        </is>
      </c>
      <c r="J11" s="27" t="inlineStr">
        <is>
          <t>Osobuco/falda, aji limo</t>
        </is>
      </c>
      <c r="K11" s="27" t="inlineStr">
        <is>
          <t>Surquillo N.1</t>
        </is>
      </c>
      <c r="L11" s="28" t="n">
        <v>2.4</v>
      </c>
      <c r="M11" s="29" t="n">
        <v>9</v>
      </c>
      <c r="N11" s="30">
        <f>IFERROR(L11/M11,"")</f>
        <v/>
      </c>
      <c r="O11" s="31" t="inlineStr">
        <is>
          <t>No - estimate</t>
        </is>
      </c>
      <c r="P11" s="31">
        <f>IF(N11="","",IF(N11&gt;0.32,"Reprice or resource",IF(N11&lt;0.2,"Check cost is realistic","OK")))</f>
        <v/>
      </c>
    </row>
    <row r="12" ht="15" customHeight="1" s="19">
      <c r="A12" s="27" t="n">
        <v>11</v>
      </c>
      <c r="B12" s="27" t="inlineStr">
        <is>
          <t>Whisky-Cured Trout Blinis</t>
        </is>
      </c>
      <c r="C12" s="27" t="inlineStr">
        <is>
          <t>Gravadlax / cured salmon</t>
        </is>
      </c>
      <c r="D12" s="27" t="inlineStr">
        <is>
          <t>Nordic</t>
        </is>
      </c>
      <c r="E12" s="27" t="inlineStr">
        <is>
          <t>Canape</t>
        </is>
      </c>
      <c r="F12" s="27" t="inlineStr">
        <is>
          <t>Trout cured in whisky, sugar and dill; aguaymanto compote to cut the fat.</t>
        </is>
      </c>
      <c r="G12" s="27" t="inlineStr">
        <is>
          <t>Drop-off</t>
        </is>
      </c>
      <c r="H12" s="27" t="inlineStr">
        <is>
          <t>Yes</t>
        </is>
      </c>
      <c r="I12" s="27" t="inlineStr">
        <is>
          <t>No</t>
        </is>
      </c>
      <c r="J12" s="27" t="inlineStr">
        <is>
          <t>Trucha, aguaymanto, eneldo</t>
        </is>
      </c>
      <c r="K12" s="27" t="inlineStr">
        <is>
          <t>Terminal Pesquero VMT; Surquillo N.1</t>
        </is>
      </c>
      <c r="L12" s="28" t="n">
        <v>4</v>
      </c>
      <c r="M12" s="29" t="n">
        <v>14</v>
      </c>
      <c r="N12" s="30">
        <f>IFERROR(L12/M12,"")</f>
        <v/>
      </c>
      <c r="O12" s="31" t="inlineStr">
        <is>
          <t>No - estimate</t>
        </is>
      </c>
      <c r="P12" s="31">
        <f>IF(N12="","",IF(N12&gt;0.32,"Reprice or resource",IF(N12&lt;0.2,"Check cost is realistic","OK")))</f>
        <v/>
      </c>
    </row>
    <row r="13" ht="23.85" customHeight="1" s="19">
      <c r="A13" s="27" t="n">
        <v>12</v>
      </c>
      <c r="B13" s="27" t="inlineStr">
        <is>
          <t>Crowdie &amp; Aguaymanto Oatcakes</t>
        </is>
      </c>
      <c r="C13" s="27" t="inlineStr">
        <is>
          <t>Crowdie</t>
        </is>
      </c>
      <c r="D13" s="27" t="inlineStr">
        <is>
          <t>Scottish</t>
        </is>
      </c>
      <c r="E13" s="27" t="inlineStr">
        <is>
          <t>Canape</t>
        </is>
      </c>
      <c r="F13" s="27" t="inlineStr">
        <is>
          <t>Scotland's fresh cheese made locally from queso fresco curd; aguaymanto chutney.</t>
        </is>
      </c>
      <c r="G13" s="27" t="inlineStr">
        <is>
          <t>Drop-off</t>
        </is>
      </c>
      <c r="H13" s="27" t="inlineStr">
        <is>
          <t>No</t>
        </is>
      </c>
      <c r="I13" s="27" t="inlineStr">
        <is>
          <t>Yes</t>
        </is>
      </c>
      <c r="J13" s="27" t="inlineStr">
        <is>
          <t>Queso fresco, aguaymanto</t>
        </is>
      </c>
      <c r="K13" s="27" t="inlineStr">
        <is>
          <t>Surquillo N.1</t>
        </is>
      </c>
      <c r="L13" s="28" t="n">
        <v>2.2</v>
      </c>
      <c r="M13" s="29" t="n">
        <v>8</v>
      </c>
      <c r="N13" s="30">
        <f>IFERROR(L13/M13,"")</f>
        <v/>
      </c>
      <c r="O13" s="31" t="inlineStr">
        <is>
          <t>No - estimate</t>
        </is>
      </c>
      <c r="P13" s="31">
        <f>IF(N13="","",IF(N13&gt;0.32,"Reprice or resource",IF(N13&lt;0.2,"Check cost is realistic","OK")))</f>
        <v/>
      </c>
    </row>
    <row r="14" ht="23.85" customHeight="1" s="19">
      <c r="A14" s="27" t="n">
        <v>13</v>
      </c>
      <c r="B14" s="27" t="inlineStr">
        <is>
          <t>Smoked Paiche Pate</t>
        </is>
      </c>
      <c r="C14" s="27" t="inlineStr">
        <is>
          <t>Arbroath smokie pate</t>
        </is>
      </c>
      <c r="D14" s="27" t="inlineStr">
        <is>
          <t>Scottish</t>
        </is>
      </c>
      <c r="E14" s="27" t="inlineStr">
        <is>
          <t>Canape</t>
        </is>
      </c>
      <c r="F14" s="27" t="inlineStr">
        <is>
          <t>Hot-smoked Amazonian paiche whipped with butter and lemon, served with oatcakes.</t>
        </is>
      </c>
      <c r="G14" s="27" t="inlineStr">
        <is>
          <t>Drop-off</t>
        </is>
      </c>
      <c r="H14" s="27" t="inlineStr">
        <is>
          <t>No</t>
        </is>
      </c>
      <c r="I14" s="27" t="inlineStr">
        <is>
          <t>No</t>
        </is>
      </c>
      <c r="J14" s="27" t="inlineStr">
        <is>
          <t>Paiche, mantequilla</t>
        </is>
      </c>
      <c r="K14" s="27" t="inlineStr">
        <is>
          <t>Terminal Pesquero VMT</t>
        </is>
      </c>
      <c r="L14" s="28" t="n">
        <v>3.6</v>
      </c>
      <c r="M14" s="29" t="n">
        <v>12</v>
      </c>
      <c r="N14" s="30">
        <f>IFERROR(L14/M14,"")</f>
        <v/>
      </c>
      <c r="O14" s="31" t="inlineStr">
        <is>
          <t>No - estimate</t>
        </is>
      </c>
      <c r="P14" s="31">
        <f>IF(N14="","",IF(N14&gt;0.32,"Reprice or resource",IF(N14&lt;0.2,"Check cost is realistic","OK")))</f>
        <v/>
      </c>
    </row>
    <row r="15" ht="15" customHeight="1" s="19">
      <c r="A15" s="27" t="n">
        <v>14</v>
      </c>
      <c r="B15" s="27" t="inlineStr">
        <is>
          <t>Stovie Croquettes</t>
        </is>
      </c>
      <c r="C15" s="27" t="inlineStr">
        <is>
          <t>Stovies</t>
        </is>
      </c>
      <c r="D15" s="27" t="inlineStr">
        <is>
          <t>Scottish</t>
        </is>
      </c>
      <c r="E15" s="27" t="inlineStr">
        <is>
          <t>Canape</t>
        </is>
      </c>
      <c r="F15" s="27" t="inlineStr">
        <is>
          <t>Slow-stewed potato and beef rolled, crumbed and fried; huacatay cream.</t>
        </is>
      </c>
      <c r="G15" s="27" t="inlineStr">
        <is>
          <t>Drop-off</t>
        </is>
      </c>
      <c r="H15" s="27" t="inlineStr">
        <is>
          <t>No</t>
        </is>
      </c>
      <c r="I15" s="27" t="inlineStr">
        <is>
          <t>No</t>
        </is>
      </c>
      <c r="J15" s="27" t="inlineStr">
        <is>
          <t>Papa, carne, huacatay</t>
        </is>
      </c>
      <c r="K15" s="27" t="inlineStr">
        <is>
          <t>Surquillo N.1</t>
        </is>
      </c>
      <c r="L15" s="28" t="n">
        <v>2.2</v>
      </c>
      <c r="M15" s="29" t="n">
        <v>8</v>
      </c>
      <c r="N15" s="30">
        <f>IFERROR(L15/M15,"")</f>
        <v/>
      </c>
      <c r="O15" s="31" t="inlineStr">
        <is>
          <t>No - estimate</t>
        </is>
      </c>
      <c r="P15" s="31">
        <f>IF(N15="","",IF(N15&gt;0.32,"Reprice or resource",IF(N15&lt;0.2,"Check cost is realistic","OK")))</f>
        <v/>
      </c>
    </row>
    <row r="16" ht="23.85" customHeight="1" s="19">
      <c r="A16" s="27" t="n">
        <v>15</v>
      </c>
      <c r="B16" s="27" t="inlineStr">
        <is>
          <t>Cock-a-Leekie Tartlets</t>
        </is>
      </c>
      <c r="C16" s="27" t="inlineStr">
        <is>
          <t>Cock-a-leekie</t>
        </is>
      </c>
      <c r="D16" s="27" t="inlineStr">
        <is>
          <t>Scottish</t>
        </is>
      </c>
      <c r="E16" s="27" t="inlineStr">
        <is>
          <t>Canape</t>
        </is>
      </c>
      <c r="F16" s="27" t="inlineStr">
        <is>
          <t>Chicken and leek in a savoury shell; choclo replaces the traditional prunes for sweetness.</t>
        </is>
      </c>
      <c r="G16" s="27" t="inlineStr">
        <is>
          <t>Drop-off</t>
        </is>
      </c>
      <c r="H16" s="27" t="inlineStr">
        <is>
          <t>No</t>
        </is>
      </c>
      <c r="I16" s="27" t="inlineStr">
        <is>
          <t>No</t>
        </is>
      </c>
      <c r="J16" s="27" t="inlineStr">
        <is>
          <t>Pollo, poro, choclo</t>
        </is>
      </c>
      <c r="K16" s="27" t="inlineStr">
        <is>
          <t>Makro; Surquillo N.1</t>
        </is>
      </c>
      <c r="L16" s="28" t="n">
        <v>2.8</v>
      </c>
      <c r="M16" s="29" t="n">
        <v>10</v>
      </c>
      <c r="N16" s="30">
        <f>IFERROR(L16/M16,"")</f>
        <v/>
      </c>
      <c r="O16" s="31" t="inlineStr">
        <is>
          <t>No - estimate</t>
        </is>
      </c>
      <c r="P16" s="31">
        <f>IF(N16="","",IF(N16&gt;0.32,"Reprice or resource",IF(N16&lt;0.2,"Check cost is realistic","OK")))</f>
        <v/>
      </c>
    </row>
    <row r="17" ht="23.85" customHeight="1" s="19">
      <c r="A17" s="27" t="n">
        <v>16</v>
      </c>
      <c r="B17" s="27" t="inlineStr">
        <is>
          <t>Anticucho, Whisky Glaze</t>
        </is>
      </c>
      <c r="C17" s="27" t="inlineStr">
        <is>
          <t>Anticucho</t>
        </is>
      </c>
      <c r="D17" s="27" t="inlineStr">
        <is>
          <t>Peruvian</t>
        </is>
      </c>
      <c r="E17" s="27" t="inlineStr">
        <is>
          <t>Canape</t>
        </is>
      </c>
      <c r="F17" s="27" t="inlineStr">
        <is>
          <t>Peruvian base, Scottish move: beef heart skewer glazed with whisky and chancaca instead of the usual panca-vinegar. The offal is the part Lima already knows.</t>
        </is>
      </c>
      <c r="G17" s="27" t="inlineStr">
        <is>
          <t>Live station</t>
        </is>
      </c>
      <c r="H17" s="27" t="inlineStr">
        <is>
          <t>Yes</t>
        </is>
      </c>
      <c r="I17" s="27" t="inlineStr">
        <is>
          <t>No</t>
        </is>
      </c>
      <c r="J17" s="27" t="inlineStr">
        <is>
          <t>Corazon de res, aji panca, chancaca</t>
        </is>
      </c>
      <c r="K17" s="27" t="inlineStr">
        <is>
          <t>Surquillo N.1</t>
        </is>
      </c>
      <c r="L17" s="28" t="n">
        <v>3</v>
      </c>
      <c r="M17" s="29" t="n">
        <v>12</v>
      </c>
      <c r="N17" s="30">
        <f>IFERROR(L17/M17,"")</f>
        <v/>
      </c>
      <c r="O17" s="31" t="inlineStr">
        <is>
          <t>No - estimate</t>
        </is>
      </c>
      <c r="P17" s="31">
        <f>IF(N17="","",IF(N17&gt;0.32,"Reprice or resource",IF(N17&lt;0.2,"Check cost is realistic","OK")))</f>
        <v/>
      </c>
    </row>
    <row r="18" ht="23.85" customHeight="1" s="19">
      <c r="A18" s="27" t="n">
        <v>17</v>
      </c>
      <c r="B18" s="27" t="inlineStr">
        <is>
          <t>Chicharron &amp; Black Pudding Buns</t>
        </is>
      </c>
      <c r="C18" s="27" t="inlineStr">
        <is>
          <t>Pan con chicharron</t>
        </is>
      </c>
      <c r="D18" s="27" t="inlineStr">
        <is>
          <t>Peruvian</t>
        </is>
      </c>
      <c r="E18" s="27" t="inlineStr">
        <is>
          <t>Canape</t>
        </is>
      </c>
      <c r="F18" s="27" t="inlineStr">
        <is>
          <t>Peruvian base, Scottish move: mini bun with slow-roast pork, but black pudding replaces the camote slice.</t>
        </is>
      </c>
      <c r="G18" s="27" t="inlineStr">
        <is>
          <t>Drop-off</t>
        </is>
      </c>
      <c r="H18" s="27" t="inlineStr">
        <is>
          <t>No</t>
        </is>
      </c>
      <c r="I18" s="27" t="inlineStr">
        <is>
          <t>No</t>
        </is>
      </c>
      <c r="J18" s="27" t="inlineStr">
        <is>
          <t>Panceta, morcilla, salsa criolla</t>
        </is>
      </c>
      <c r="K18" s="27" t="inlineStr">
        <is>
          <t>Artisanal butcher</t>
        </is>
      </c>
      <c r="L18" s="28" t="n">
        <v>4</v>
      </c>
      <c r="M18" s="29" t="n">
        <v>14</v>
      </c>
      <c r="N18" s="30">
        <f>IFERROR(L18/M18,"")</f>
        <v/>
      </c>
      <c r="O18" s="31" t="inlineStr">
        <is>
          <t>No - estimate</t>
        </is>
      </c>
      <c r="P18" s="31">
        <f>IF(N18="","",IF(N18&gt;0.32,"Reprice or resource",IF(N18&lt;0.2,"Check cost is realistic","OK")))</f>
        <v/>
      </c>
    </row>
    <row r="19" ht="15" customHeight="1" s="19">
      <c r="A19" s="27" t="n">
        <v>18</v>
      </c>
      <c r="B19" s="27" t="inlineStr">
        <is>
          <t>Prawn Cocktail Chifles</t>
        </is>
      </c>
      <c r="C19" s="27" t="inlineStr">
        <is>
          <t>Prawn cocktail</t>
        </is>
      </c>
      <c r="D19" s="27" t="inlineStr">
        <is>
          <t>English</t>
        </is>
      </c>
      <c r="E19" s="27" t="inlineStr">
        <is>
          <t>Canape</t>
        </is>
      </c>
      <c r="F19" s="27" t="inlineStr">
        <is>
          <t>Marie Rose prawns on a crisp plantain chifle instead of a lettuce cup.</t>
        </is>
      </c>
      <c r="G19" s="27" t="inlineStr">
        <is>
          <t>Drop-off</t>
        </is>
      </c>
      <c r="H19" s="27" t="inlineStr">
        <is>
          <t>No</t>
        </is>
      </c>
      <c r="I19" s="27" t="inlineStr">
        <is>
          <t>No</t>
        </is>
      </c>
      <c r="J19" s="27" t="inlineStr">
        <is>
          <t>Langostinos, platano, limon</t>
        </is>
      </c>
      <c r="K19" s="27" t="inlineStr">
        <is>
          <t>Terminal Pesquero VMT</t>
        </is>
      </c>
      <c r="L19" s="28" t="n">
        <v>4.5</v>
      </c>
      <c r="M19" s="29" t="n">
        <v>15</v>
      </c>
      <c r="N19" s="30">
        <f>IFERROR(L19/M19,"")</f>
        <v/>
      </c>
      <c r="O19" s="31" t="inlineStr">
        <is>
          <t>No - estimate</t>
        </is>
      </c>
      <c r="P19" s="31">
        <f>IF(N19="","",IF(N19&gt;0.32,"Reprice or resource",IF(N19&lt;0.2,"Check cost is realistic","OK")))</f>
        <v/>
      </c>
    </row>
    <row r="20" ht="15" customHeight="1" s="19">
      <c r="A20" s="27" t="n">
        <v>19</v>
      </c>
      <c r="B20" s="27" t="inlineStr">
        <is>
          <t>Devils on Horseback</t>
        </is>
      </c>
      <c r="C20" s="27" t="inlineStr">
        <is>
          <t>Devils on horseback</t>
        </is>
      </c>
      <c r="D20" s="27" t="inlineStr">
        <is>
          <t>English</t>
        </is>
      </c>
      <c r="E20" s="27" t="inlineStr">
        <is>
          <t>Canape</t>
        </is>
      </c>
      <c r="F20" s="27" t="inlineStr">
        <is>
          <t>Bacon-wrapped date; local higo and a pecan replace the almond stuffing.</t>
        </is>
      </c>
      <c r="G20" s="27" t="inlineStr">
        <is>
          <t>Drop-off</t>
        </is>
      </c>
      <c r="H20" s="27" t="inlineStr">
        <is>
          <t>No</t>
        </is>
      </c>
      <c r="I20" s="27" t="inlineStr">
        <is>
          <t>No</t>
        </is>
      </c>
      <c r="J20" s="27" t="inlineStr">
        <is>
          <t>Higos, tocino, pecanas</t>
        </is>
      </c>
      <c r="K20" s="27" t="inlineStr">
        <is>
          <t>Makro; Surquillo N.1</t>
        </is>
      </c>
      <c r="L20" s="28" t="n">
        <v>2.6</v>
      </c>
      <c r="M20" s="29" t="n">
        <v>9</v>
      </c>
      <c r="N20" s="30">
        <f>IFERROR(L20/M20,"")</f>
        <v/>
      </c>
      <c r="O20" s="31" t="inlineStr">
        <is>
          <t>No - estimate</t>
        </is>
      </c>
      <c r="P20" s="31">
        <f>IF(N20="","",IF(N20&gt;0.32,"Reprice or resource",IF(N20&lt;0.2,"Check cost is realistic","OK")))</f>
        <v/>
      </c>
    </row>
    <row r="21" ht="15" customHeight="1" s="19">
      <c r="A21" s="27" t="n">
        <v>20</v>
      </c>
      <c r="B21" s="27" t="inlineStr">
        <is>
          <t>Tortilla &amp; Morcilla Pintxo</t>
        </is>
      </c>
      <c r="C21" s="27" t="inlineStr">
        <is>
          <t>Pintxo de tortilla</t>
        </is>
      </c>
      <c r="D21" s="27" t="inlineStr">
        <is>
          <t>Basque</t>
        </is>
      </c>
      <c r="E21" s="27" t="inlineStr">
        <is>
          <t>Canape</t>
        </is>
      </c>
      <c r="F21" s="27" t="inlineStr">
        <is>
          <t>Potato tortilla square topped with morcilla and piquillo; native potato base.</t>
        </is>
      </c>
      <c r="G21" s="27" t="inlineStr">
        <is>
          <t>Drop-off</t>
        </is>
      </c>
      <c r="H21" s="27" t="inlineStr">
        <is>
          <t>No</t>
        </is>
      </c>
      <c r="I21" s="27" t="inlineStr">
        <is>
          <t>No</t>
        </is>
      </c>
      <c r="J21" s="27" t="inlineStr">
        <is>
          <t>Papa amarilla, morcilla, huevo</t>
        </is>
      </c>
      <c r="K21" s="27" t="inlineStr">
        <is>
          <t>Surquillo N.1</t>
        </is>
      </c>
      <c r="L21" s="28" t="n">
        <v>2.4</v>
      </c>
      <c r="M21" s="29" t="n">
        <v>9</v>
      </c>
      <c r="N21" s="30">
        <f>IFERROR(L21/M21,"")</f>
        <v/>
      </c>
      <c r="O21" s="31" t="inlineStr">
        <is>
          <t>No - estimate</t>
        </is>
      </c>
      <c r="P21" s="31">
        <f>IF(N21="","",IF(N21&gt;0.32,"Reprice or resource",IF(N21&lt;0.2,"Check cost is realistic","OK")))</f>
        <v/>
      </c>
    </row>
    <row r="22" ht="15" customHeight="1" s="19">
      <c r="A22" s="27" t="n">
        <v>21</v>
      </c>
      <c r="B22" s="27" t="inlineStr">
        <is>
          <t>Gilda Pintxo, Aji Limo</t>
        </is>
      </c>
      <c r="C22" s="27" t="inlineStr">
        <is>
          <t>Gilda</t>
        </is>
      </c>
      <c r="D22" s="27" t="inlineStr">
        <is>
          <t>Basque</t>
        </is>
      </c>
      <c r="E22" s="27" t="inlineStr">
        <is>
          <t>Canape</t>
        </is>
      </c>
      <c r="F22" s="27" t="inlineStr">
        <is>
          <t>The classic olive-anchovy-guindilla skewer with Tacna olive and aji limo.</t>
        </is>
      </c>
      <c r="G22" s="27" t="inlineStr">
        <is>
          <t>Drop-off</t>
        </is>
      </c>
      <c r="H22" s="27" t="inlineStr">
        <is>
          <t>No</t>
        </is>
      </c>
      <c r="I22" s="27" t="inlineStr">
        <is>
          <t>No</t>
        </is>
      </c>
      <c r="J22" s="27" t="inlineStr">
        <is>
          <t>Aceituna de Tacna, anchoas, aji limo</t>
        </is>
      </c>
      <c r="K22" s="27" t="inlineStr">
        <is>
          <t>Surquillo N.1; importer</t>
        </is>
      </c>
      <c r="L22" s="28" t="n">
        <v>2.8</v>
      </c>
      <c r="M22" s="29" t="n">
        <v>10</v>
      </c>
      <c r="N22" s="30">
        <f>IFERROR(L22/M22,"")</f>
        <v/>
      </c>
      <c r="O22" s="31" t="inlineStr">
        <is>
          <t>No - estimate</t>
        </is>
      </c>
      <c r="P22" s="31">
        <f>IF(N22="","",IF(N22&gt;0.32,"Reprice or resource",IF(N22&lt;0.2,"Check cost is realistic","OK")))</f>
        <v/>
      </c>
    </row>
    <row r="23" ht="15" customHeight="1" s="19">
      <c r="A23" s="27" t="n">
        <v>22</v>
      </c>
      <c r="B23" s="27" t="inlineStr">
        <is>
          <t>Spanakopita Cigars</t>
        </is>
      </c>
      <c r="C23" s="27" t="inlineStr">
        <is>
          <t>Spanakopita</t>
        </is>
      </c>
      <c r="D23" s="27" t="inlineStr">
        <is>
          <t>Greek</t>
        </is>
      </c>
      <c r="E23" s="27" t="inlineStr">
        <is>
          <t>Canape</t>
        </is>
      </c>
      <c r="F23" s="27" t="inlineStr">
        <is>
          <t>Filo cigars of spinach with queso paria standing in for feta.</t>
        </is>
      </c>
      <c r="G23" s="27" t="inlineStr">
        <is>
          <t>Drop-off</t>
        </is>
      </c>
      <c r="H23" s="27" t="inlineStr">
        <is>
          <t>No</t>
        </is>
      </c>
      <c r="I23" s="27" t="inlineStr">
        <is>
          <t>Yes</t>
        </is>
      </c>
      <c r="J23" s="27" t="inlineStr">
        <is>
          <t>Espinaca, queso paria</t>
        </is>
      </c>
      <c r="K23" s="27" t="inlineStr">
        <is>
          <t>Surquillo N.1; importer (filo)</t>
        </is>
      </c>
      <c r="L23" s="28" t="n">
        <v>2.6</v>
      </c>
      <c r="M23" s="29" t="n">
        <v>9</v>
      </c>
      <c r="N23" s="30">
        <f>IFERROR(L23/M23,"")</f>
        <v/>
      </c>
      <c r="O23" s="31" t="inlineStr">
        <is>
          <t>No - estimate</t>
        </is>
      </c>
      <c r="P23" s="31">
        <f>IF(N23="","",IF(N23&gt;0.32,"Reprice or resource",IF(N23&lt;0.2,"Check cost is realistic","OK")))</f>
        <v/>
      </c>
    </row>
    <row r="24" ht="15" customHeight="1" s="19">
      <c r="A24" s="27" t="n">
        <v>23</v>
      </c>
      <c r="B24" s="27" t="inlineStr">
        <is>
          <t>Keftedes with Huacatay</t>
        </is>
      </c>
      <c r="C24" s="27" t="inlineStr">
        <is>
          <t>Keftedes</t>
        </is>
      </c>
      <c r="D24" s="27" t="inlineStr">
        <is>
          <t>Greek</t>
        </is>
      </c>
      <c r="E24" s="27" t="inlineStr">
        <is>
          <t>Canape</t>
        </is>
      </c>
      <c r="F24" s="27" t="inlineStr">
        <is>
          <t>Lamb meatballs where huacatay does the work of mint; yoghurt-rocoto dip.</t>
        </is>
      </c>
      <c r="G24" s="27" t="inlineStr">
        <is>
          <t>Drop-off</t>
        </is>
      </c>
      <c r="H24" s="27" t="inlineStr">
        <is>
          <t>No</t>
        </is>
      </c>
      <c r="I24" s="27" t="inlineStr">
        <is>
          <t>No</t>
        </is>
      </c>
      <c r="J24" s="27" t="inlineStr">
        <is>
          <t>Cordero, huacatay, yogurt</t>
        </is>
      </c>
      <c r="K24" s="27" t="inlineStr">
        <is>
          <t>Mercado de Magdalena</t>
        </is>
      </c>
      <c r="L24" s="28" t="n">
        <v>3</v>
      </c>
      <c r="M24" s="29" t="n">
        <v>10</v>
      </c>
      <c r="N24" s="30">
        <f>IFERROR(L24/M24,"")</f>
        <v/>
      </c>
      <c r="O24" s="31" t="inlineStr">
        <is>
          <t>No - estimate</t>
        </is>
      </c>
      <c r="P24" s="31">
        <f>IF(N24="","",IF(N24&gt;0.32,"Reprice or resource",IF(N24&lt;0.2,"Check cost is realistic","OK")))</f>
        <v/>
      </c>
    </row>
    <row r="25" ht="15" customHeight="1" s="19">
      <c r="A25" s="27" t="n">
        <v>24</v>
      </c>
      <c r="B25" s="27" t="inlineStr">
        <is>
          <t>Rye &amp; Trout Smorrebrod Bites</t>
        </is>
      </c>
      <c r="C25" s="27" t="inlineStr">
        <is>
          <t>Smorrebrod</t>
        </is>
      </c>
      <c r="D25" s="27" t="inlineStr">
        <is>
          <t>Nordic</t>
        </is>
      </c>
      <c r="E25" s="27" t="inlineStr">
        <is>
          <t>Canape</t>
        </is>
      </c>
      <c r="F25" s="27" t="inlineStr">
        <is>
          <t>Dark rye squares, cured trout, pickled red onion, dill. Holds cold for hours.</t>
        </is>
      </c>
      <c r="G25" s="27" t="inlineStr">
        <is>
          <t>Drop-off</t>
        </is>
      </c>
      <c r="H25" s="27" t="inlineStr">
        <is>
          <t>No</t>
        </is>
      </c>
      <c r="I25" s="27" t="inlineStr">
        <is>
          <t>No</t>
        </is>
      </c>
      <c r="J25" s="27" t="inlineStr">
        <is>
          <t>Trucha, cebolla roja, centeno</t>
        </is>
      </c>
      <c r="K25" s="27" t="inlineStr">
        <is>
          <t>Terminal Pesquero VMT; Makro</t>
        </is>
      </c>
      <c r="L25" s="28" t="n">
        <v>3.6</v>
      </c>
      <c r="M25" s="29" t="n">
        <v>12</v>
      </c>
      <c r="N25" s="30">
        <f>IFERROR(L25/M25,"")</f>
        <v/>
      </c>
      <c r="O25" s="31" t="inlineStr">
        <is>
          <t>No - estimate</t>
        </is>
      </c>
      <c r="P25" s="31">
        <f>IF(N25="","",IF(N25&gt;0.32,"Reprice or resource",IF(N25&lt;0.2,"Check cost is realistic","OK")))</f>
        <v/>
      </c>
    </row>
    <row r="26" ht="23.85" customHeight="1" s="19">
      <c r="A26" s="27" t="n">
        <v>25</v>
      </c>
      <c r="B26" s="27" t="inlineStr">
        <is>
          <t>Quail Scotch Eggs</t>
        </is>
      </c>
      <c r="C26" s="27" t="inlineStr">
        <is>
          <t>Scotch egg</t>
        </is>
      </c>
      <c r="D26" s="27" t="inlineStr">
        <is>
          <t>English</t>
        </is>
      </c>
      <c r="E26" s="27" t="inlineStr">
        <is>
          <t>Canape</t>
        </is>
      </c>
      <c r="F26" s="27" t="inlineStr">
        <is>
          <t>Quail egg wrapped in morcilla-spiked sausage meat, crumbed and fried.</t>
        </is>
      </c>
      <c r="G26" s="27" t="inlineStr">
        <is>
          <t>Drop-off</t>
        </is>
      </c>
      <c r="H26" s="27" t="inlineStr">
        <is>
          <t>No</t>
        </is>
      </c>
      <c r="I26" s="27" t="inlineStr">
        <is>
          <t>No</t>
        </is>
      </c>
      <c r="J26" s="27" t="inlineStr">
        <is>
          <t>Huevo de codorniz, carne molida, morcilla</t>
        </is>
      </c>
      <c r="K26" s="27" t="inlineStr">
        <is>
          <t>Makro; artisanal butcher</t>
        </is>
      </c>
      <c r="L26" s="28" t="n">
        <v>3.2</v>
      </c>
      <c r="M26" s="29" t="n">
        <v>11</v>
      </c>
      <c r="N26" s="30">
        <f>IFERROR(L26/M26,"")</f>
        <v/>
      </c>
      <c r="O26" s="31" t="inlineStr">
        <is>
          <t>No - estimate</t>
        </is>
      </c>
      <c r="P26" s="31">
        <f>IF(N26="","",IF(N26&gt;0.32,"Reprice or resource",IF(N26&lt;0.2,"Check cost is realistic","OK")))</f>
        <v/>
      </c>
    </row>
    <row r="27" ht="23.85" customHeight="1" s="19">
      <c r="A27" s="27" t="n">
        <v>26</v>
      </c>
      <c r="B27" s="27" t="inlineStr">
        <is>
          <t>Lomo Wellington</t>
        </is>
      </c>
      <c r="C27" s="27" t="inlineStr">
        <is>
          <t>Beef Wellington</t>
        </is>
      </c>
      <c r="D27" s="27" t="inlineStr">
        <is>
          <t>English</t>
        </is>
      </c>
      <c r="E27" s="27" t="inlineStr">
        <is>
          <t>Main</t>
        </is>
      </c>
      <c r="F27" s="27" t="inlineStr">
        <is>
          <t>Peruvian tenderloin, mushroom duxelles, aji amarillo demi-glace. Showpiece only - do not put on the standing menu.</t>
        </is>
      </c>
      <c r="G27" s="27" t="inlineStr">
        <is>
          <t>Plated</t>
        </is>
      </c>
      <c r="H27" s="27" t="inlineStr">
        <is>
          <t>No</t>
        </is>
      </c>
      <c r="I27" s="27" t="inlineStr">
        <is>
          <t>No</t>
        </is>
      </c>
      <c r="J27" s="27" t="inlineStr">
        <is>
          <t>Lomo fino, championes, aji amarillo</t>
        </is>
      </c>
      <c r="K27" s="27" t="inlineStr">
        <is>
          <t>Oregon Foods</t>
        </is>
      </c>
      <c r="L27" s="28" t="n">
        <v>26</v>
      </c>
      <c r="M27" s="29" t="n">
        <v>88</v>
      </c>
      <c r="N27" s="30">
        <f>IFERROR(L27/M27,"")</f>
        <v/>
      </c>
      <c r="O27" s="31" t="inlineStr">
        <is>
          <t>No - estimate</t>
        </is>
      </c>
      <c r="P27" s="31">
        <f>IF(N27="","",IF(N27&gt;0.32,"Reprice or resource",IF(N27&lt;0.2,"Check cost is realistic","OK")))</f>
        <v/>
      </c>
    </row>
    <row r="28" ht="23.85" customHeight="1" s="19">
      <c r="A28" s="27" t="n">
        <v>27</v>
      </c>
      <c r="B28" s="27" t="inlineStr">
        <is>
          <t>Chicken Balmoral</t>
        </is>
      </c>
      <c r="C28" s="27" t="inlineStr">
        <is>
          <t>Chicken Balmoral</t>
        </is>
      </c>
      <c r="D28" s="27" t="inlineStr">
        <is>
          <t>Scottish</t>
        </is>
      </c>
      <c r="E28" s="27" t="inlineStr">
        <is>
          <t>Main</t>
        </is>
      </c>
      <c r="F28" s="27" t="inlineStr">
        <is>
          <t>Breast stuffed with haggis-spiced morcilla, wrapped in local bacon, whisky cream sauce.</t>
        </is>
      </c>
      <c r="G28" s="27" t="inlineStr">
        <is>
          <t>Plated</t>
        </is>
      </c>
      <c r="H28" s="27" t="inlineStr">
        <is>
          <t>Yes</t>
        </is>
      </c>
      <c r="I28" s="27" t="inlineStr">
        <is>
          <t>No</t>
        </is>
      </c>
      <c r="J28" s="27" t="inlineStr">
        <is>
          <t>Pollo, morcilla, tocino</t>
        </is>
      </c>
      <c r="K28" s="27" t="inlineStr">
        <is>
          <t>Makro; artisanal butcher</t>
        </is>
      </c>
      <c r="L28" s="28" t="n">
        <v>13</v>
      </c>
      <c r="M28" s="29" t="n">
        <v>46</v>
      </c>
      <c r="N28" s="30">
        <f>IFERROR(L28/M28,"")</f>
        <v/>
      </c>
      <c r="O28" s="31" t="inlineStr">
        <is>
          <t>No - estimate</t>
        </is>
      </c>
      <c r="P28" s="31">
        <f>IF(N28="","",IF(N28&gt;0.32,"Reprice or resource",IF(N28&lt;0.2,"Check cost is realistic","OK")))</f>
        <v/>
      </c>
    </row>
    <row r="29" ht="23.85" customHeight="1" s="19">
      <c r="A29" s="27" t="n">
        <v>28</v>
      </c>
      <c r="B29" s="27" t="inlineStr">
        <is>
          <t>Cullen Skink Chupe</t>
        </is>
      </c>
      <c r="C29" s="27" t="inlineStr">
        <is>
          <t>Cullen skink</t>
        </is>
      </c>
      <c r="D29" s="27" t="inlineStr">
        <is>
          <t>Scottish</t>
        </is>
      </c>
      <c r="E29" s="27" t="inlineStr">
        <is>
          <t>Main</t>
        </is>
      </c>
      <c r="F29" s="27" t="inlineStr">
        <is>
          <t>Smoked paiche or trout replaces haddock; native potatoes stay. Your signature soup.</t>
        </is>
      </c>
      <c r="G29" s="27" t="inlineStr">
        <is>
          <t>Buffet</t>
        </is>
      </c>
      <c r="H29" s="27" t="inlineStr">
        <is>
          <t>No</t>
        </is>
      </c>
      <c r="I29" s="27" t="inlineStr">
        <is>
          <t>No</t>
        </is>
      </c>
      <c r="J29" s="27" t="inlineStr">
        <is>
          <t>Paiche/trucha ahumada, papa nativa, poro</t>
        </is>
      </c>
      <c r="K29" s="27" t="inlineStr">
        <is>
          <t>Terminal Pesquero VMT</t>
        </is>
      </c>
      <c r="L29" s="28" t="n">
        <v>14</v>
      </c>
      <c r="M29" s="29" t="n">
        <v>48</v>
      </c>
      <c r="N29" s="30">
        <f>IFERROR(L29/M29,"")</f>
        <v/>
      </c>
      <c r="O29" s="31" t="inlineStr">
        <is>
          <t>No - estimate</t>
        </is>
      </c>
      <c r="P29" s="31">
        <f>IF(N29="","",IF(N29&gt;0.32,"Reprice or resource",IF(N29&lt;0.2,"Check cost is realistic","OK")))</f>
        <v/>
      </c>
    </row>
    <row r="30" ht="23.85" customHeight="1" s="19">
      <c r="A30" s="27" t="n">
        <v>29</v>
      </c>
      <c r="B30" s="27" t="inlineStr">
        <is>
          <t>Scotch Pie</t>
        </is>
      </c>
      <c r="C30" s="27" t="inlineStr">
        <is>
          <t>Scotch pie</t>
        </is>
      </c>
      <c r="D30" s="27" t="inlineStr">
        <is>
          <t>Scottish</t>
        </is>
      </c>
      <c r="E30" s="27" t="inlineStr">
        <is>
          <t>Main</t>
        </is>
      </c>
      <c r="F30" s="27" t="inlineStr">
        <is>
          <t>Full-size hot-water crust pie, cordero and aji panca, served with beans or clapshot.</t>
        </is>
      </c>
      <c r="G30" s="27" t="inlineStr">
        <is>
          <t>Buffet</t>
        </is>
      </c>
      <c r="H30" s="27" t="inlineStr">
        <is>
          <t>No</t>
        </is>
      </c>
      <c r="I30" s="27" t="inlineStr">
        <is>
          <t>No</t>
        </is>
      </c>
      <c r="J30" s="27" t="inlineStr">
        <is>
          <t>Cordero, aji panca</t>
        </is>
      </c>
      <c r="K30" s="27" t="inlineStr">
        <is>
          <t>Mercado de Magdalena</t>
        </is>
      </c>
      <c r="L30" s="28" t="n">
        <v>7</v>
      </c>
      <c r="M30" s="29" t="n">
        <v>26</v>
      </c>
      <c r="N30" s="30">
        <f>IFERROR(L30/M30,"")</f>
        <v/>
      </c>
      <c r="O30" s="31" t="inlineStr">
        <is>
          <t>No - estimate</t>
        </is>
      </c>
      <c r="P30" s="31">
        <f>IF(N30="","",IF(N30&gt;0.32,"Reprice or resource",IF(N30&lt;0.2,"Check cost is realistic","OK")))</f>
        <v/>
      </c>
    </row>
    <row r="31" ht="23.85" customHeight="1" s="19">
      <c r="A31" s="27" t="n">
        <v>30</v>
      </c>
      <c r="B31" s="27" t="inlineStr">
        <is>
          <t>Hogmanay Steak Pie</t>
        </is>
      </c>
      <c r="C31" s="27" t="inlineStr">
        <is>
          <t>Steak pie</t>
        </is>
      </c>
      <c r="D31" s="27" t="inlineStr">
        <is>
          <t>Scottish</t>
        </is>
      </c>
      <c r="E31" s="27" t="inlineStr">
        <is>
          <t>Main</t>
        </is>
      </c>
      <c r="F31" s="27" t="inlineStr">
        <is>
          <t>New Year tradition; beef braised in dark beer with a chicha de jora note, puff lid.</t>
        </is>
      </c>
      <c r="G31" s="27" t="inlineStr">
        <is>
          <t>Buffet</t>
        </is>
      </c>
      <c r="H31" s="27" t="inlineStr">
        <is>
          <t>No</t>
        </is>
      </c>
      <c r="I31" s="27" t="inlineStr">
        <is>
          <t>No</t>
        </is>
      </c>
      <c r="J31" s="27" t="inlineStr">
        <is>
          <t>Asado de tira, cerveza negra, chicha de jora</t>
        </is>
      </c>
      <c r="K31" s="27" t="inlineStr">
        <is>
          <t>Oregon Foods; Surquillo N.1</t>
        </is>
      </c>
      <c r="L31" s="28" t="n">
        <v>15</v>
      </c>
      <c r="M31" s="29" t="n">
        <v>52</v>
      </c>
      <c r="N31" s="30">
        <f>IFERROR(L31/M31,"")</f>
        <v/>
      </c>
      <c r="O31" s="31" t="inlineStr">
        <is>
          <t>No - estimate</t>
        </is>
      </c>
      <c r="P31" s="31">
        <f>IF(N31="","",IF(N31&gt;0.32,"Reprice or resource",IF(N31&lt;0.2,"Check cost is realistic","OK")))</f>
        <v/>
      </c>
    </row>
    <row r="32" ht="15" customHeight="1" s="19">
      <c r="A32" s="27" t="n">
        <v>31</v>
      </c>
      <c r="B32" s="27" t="inlineStr">
        <is>
          <t>Haggis Shepherd's Pie</t>
        </is>
      </c>
      <c r="C32" s="27" t="inlineStr">
        <is>
          <t>Shepherd's pie</t>
        </is>
      </c>
      <c r="D32" s="27" t="inlineStr">
        <is>
          <t>Scottish</t>
        </is>
      </c>
      <c r="E32" s="27" t="inlineStr">
        <is>
          <t>Main</t>
        </is>
      </c>
      <c r="F32" s="27" t="inlineStr">
        <is>
          <t>Haggis-spiced lamb base under a buttery native yellow potato mash.</t>
        </is>
      </c>
      <c r="G32" s="27" t="inlineStr">
        <is>
          <t>Buffet</t>
        </is>
      </c>
      <c r="H32" s="27" t="inlineStr">
        <is>
          <t>No</t>
        </is>
      </c>
      <c r="I32" s="27" t="inlineStr">
        <is>
          <t>No</t>
        </is>
      </c>
      <c r="J32" s="27" t="inlineStr">
        <is>
          <t>Cordero, papa amarilla</t>
        </is>
      </c>
      <c r="K32" s="27" t="inlineStr">
        <is>
          <t>Mercado de Magdalena</t>
        </is>
      </c>
      <c r="L32" s="28" t="n">
        <v>13</v>
      </c>
      <c r="M32" s="29" t="n">
        <v>45</v>
      </c>
      <c r="N32" s="30">
        <f>IFERROR(L32/M32,"")</f>
        <v/>
      </c>
      <c r="O32" s="31" t="inlineStr">
        <is>
          <t>No - estimate</t>
        </is>
      </c>
      <c r="P32" s="31">
        <f>IF(N32="","",IF(N32&gt;0.32,"Reprice or resource",IF(N32&lt;0.2,"Check cost is realistic","OK")))</f>
        <v/>
      </c>
    </row>
    <row r="33" ht="23.85" customHeight="1" s="19">
      <c r="A33" s="27" t="n">
        <v>32</v>
      </c>
      <c r="B33" s="27" t="inlineStr">
        <is>
          <t>Mince &amp; Tatties</t>
        </is>
      </c>
      <c r="C33" s="27" t="inlineStr">
        <is>
          <t>Mince and tatties</t>
        </is>
      </c>
      <c r="D33" s="27" t="inlineStr">
        <is>
          <t>Scottish</t>
        </is>
      </c>
      <c r="E33" s="27" t="inlineStr">
        <is>
          <t>Main</t>
        </is>
      </c>
      <c r="F33" s="27" t="inlineStr">
        <is>
          <t>Beef mince in an aji panca gravy over yellow potato mash. Cheapest main on the matrix.</t>
        </is>
      </c>
      <c r="G33" s="27" t="inlineStr">
        <is>
          <t>Buffet</t>
        </is>
      </c>
      <c r="H33" s="27" t="inlineStr">
        <is>
          <t>No</t>
        </is>
      </c>
      <c r="I33" s="27" t="inlineStr">
        <is>
          <t>No</t>
        </is>
      </c>
      <c r="J33" s="27" t="inlineStr">
        <is>
          <t>Carne molida, aji panca, papa amarilla</t>
        </is>
      </c>
      <c r="K33" s="27" t="inlineStr">
        <is>
          <t>Makro; Surquillo N.1</t>
        </is>
      </c>
      <c r="L33" s="28" t="n">
        <v>8</v>
      </c>
      <c r="M33" s="29" t="n">
        <v>30</v>
      </c>
      <c r="N33" s="30">
        <f>IFERROR(L33/M33,"")</f>
        <v/>
      </c>
      <c r="O33" s="31" t="inlineStr">
        <is>
          <t>No - estimate</t>
        </is>
      </c>
      <c r="P33" s="31">
        <f>IF(N33="","",IF(N33&gt;0.32,"Reprice or resource",IF(N33&lt;0.2,"Check cost is realistic","OK")))</f>
        <v/>
      </c>
    </row>
    <row r="34" ht="15" customHeight="1" s="19">
      <c r="A34" s="27" t="n">
        <v>33</v>
      </c>
      <c r="B34" s="27" t="inlineStr">
        <is>
          <t>Stovies</t>
        </is>
      </c>
      <c r="C34" s="27" t="inlineStr">
        <is>
          <t>Stovies</t>
        </is>
      </c>
      <c r="D34" s="27" t="inlineStr">
        <is>
          <t>Scottish</t>
        </is>
      </c>
      <c r="E34" s="27" t="inlineStr">
        <is>
          <t>Main</t>
        </is>
      </c>
      <c r="F34" s="27" t="inlineStr">
        <is>
          <t>Slow-stewed potato, onion and leftover roast; served with oatcakes to scoop.</t>
        </is>
      </c>
      <c r="G34" s="27" t="inlineStr">
        <is>
          <t>Buffet</t>
        </is>
      </c>
      <c r="H34" s="27" t="inlineStr">
        <is>
          <t>No</t>
        </is>
      </c>
      <c r="I34" s="27" t="inlineStr">
        <is>
          <t>No</t>
        </is>
      </c>
      <c r="J34" s="27" t="inlineStr">
        <is>
          <t>Papa blanca, cebolla, carne</t>
        </is>
      </c>
      <c r="K34" s="27" t="inlineStr">
        <is>
          <t>Surquillo N.1</t>
        </is>
      </c>
      <c r="L34" s="28" t="n">
        <v>6</v>
      </c>
      <c r="M34" s="29" t="n">
        <v>24</v>
      </c>
      <c r="N34" s="30">
        <f>IFERROR(L34/M34,"")</f>
        <v/>
      </c>
      <c r="O34" s="31" t="inlineStr">
        <is>
          <t>No - estimate</t>
        </is>
      </c>
      <c r="P34" s="31">
        <f>IF(N34="","",IF(N34&gt;0.32,"Reprice or resource",IF(N34&lt;0.2,"Check cost is realistic","OK")))</f>
        <v/>
      </c>
    </row>
    <row r="35" ht="15" customHeight="1" s="19">
      <c r="A35" s="27" t="n">
        <v>34</v>
      </c>
      <c r="B35" s="27" t="inlineStr">
        <is>
          <t>Scotch Broth with Quinoa</t>
        </is>
      </c>
      <c r="C35" s="27" t="inlineStr">
        <is>
          <t>Scotch broth</t>
        </is>
      </c>
      <c r="D35" s="27" t="inlineStr">
        <is>
          <t>Scottish</t>
        </is>
      </c>
      <c r="E35" s="27" t="inlineStr">
        <is>
          <t>Main</t>
        </is>
      </c>
      <c r="F35" s="27" t="inlineStr">
        <is>
          <t>Quinoa carries the barley role alongside lamb and root vegetables.</t>
        </is>
      </c>
      <c r="G35" s="27" t="inlineStr">
        <is>
          <t>Buffet</t>
        </is>
      </c>
      <c r="H35" s="27" t="inlineStr">
        <is>
          <t>No</t>
        </is>
      </c>
      <c r="I35" s="27" t="inlineStr">
        <is>
          <t>No</t>
        </is>
      </c>
      <c r="J35" s="27" t="inlineStr">
        <is>
          <t>Cordero, quinua, zanahoria, nabo</t>
        </is>
      </c>
      <c r="K35" s="27" t="inlineStr">
        <is>
          <t>Mercado de Magdalena; Makro</t>
        </is>
      </c>
      <c r="L35" s="28" t="n">
        <v>7</v>
      </c>
      <c r="M35" s="29" t="n">
        <v>26</v>
      </c>
      <c r="N35" s="30">
        <f>IFERROR(L35/M35,"")</f>
        <v/>
      </c>
      <c r="O35" s="31" t="inlineStr">
        <is>
          <t>No - estimate</t>
        </is>
      </c>
      <c r="P35" s="31">
        <f>IF(N35="","",IF(N35&gt;0.32,"Reprice or resource",IF(N35&lt;0.2,"Check cost is realistic","OK")))</f>
        <v/>
      </c>
    </row>
    <row r="36" ht="23.85" customHeight="1" s="19">
      <c r="A36" s="27" t="n">
        <v>35</v>
      </c>
      <c r="B36" s="27" t="inlineStr">
        <is>
          <t>Cock-a-Leekie</t>
        </is>
      </c>
      <c r="C36" s="27" t="inlineStr">
        <is>
          <t>Cock-a-leekie</t>
        </is>
      </c>
      <c r="D36" s="27" t="inlineStr">
        <is>
          <t>Scottish</t>
        </is>
      </c>
      <c r="E36" s="27" t="inlineStr">
        <is>
          <t>Main</t>
        </is>
      </c>
      <c r="F36" s="27" t="inlineStr">
        <is>
          <t>Chicken and leek broth; choclo replaces prunes, thickened with rice as tradition allows.</t>
        </is>
      </c>
      <c r="G36" s="27" t="inlineStr">
        <is>
          <t>Buffet</t>
        </is>
      </c>
      <c r="H36" s="27" t="inlineStr">
        <is>
          <t>No</t>
        </is>
      </c>
      <c r="I36" s="27" t="inlineStr">
        <is>
          <t>No</t>
        </is>
      </c>
      <c r="J36" s="27" t="inlineStr">
        <is>
          <t>Pollo, poro, choclo</t>
        </is>
      </c>
      <c r="K36" s="27" t="inlineStr">
        <is>
          <t>Makro; Surquillo N.1</t>
        </is>
      </c>
      <c r="L36" s="28" t="n">
        <v>6.5</v>
      </c>
      <c r="M36" s="29" t="n">
        <v>24</v>
      </c>
      <c r="N36" s="30">
        <f>IFERROR(L36/M36,"")</f>
        <v/>
      </c>
      <c r="O36" s="31" t="inlineStr">
        <is>
          <t>No - estimate</t>
        </is>
      </c>
      <c r="P36" s="31">
        <f>IF(N36="","",IF(N36&gt;0.32,"Reprice or resource",IF(N36&lt;0.2,"Check cost is realistic","OK")))</f>
        <v/>
      </c>
    </row>
    <row r="37" ht="23.85" customHeight="1" s="19">
      <c r="A37" s="27" t="n">
        <v>36</v>
      </c>
      <c r="B37" s="27" t="inlineStr">
        <is>
          <t>Glasgow Tikka Masala</t>
        </is>
      </c>
      <c r="C37" s="27" t="inlineStr">
        <is>
          <t>Chicken tikka masala</t>
        </is>
      </c>
      <c r="D37" s="27" t="inlineStr">
        <is>
          <t>Scottish (Glasgow)</t>
        </is>
      </c>
      <c r="E37" s="27" t="inlineStr">
        <is>
          <t>Main</t>
        </is>
      </c>
      <c r="F37" s="27" t="inlineStr">
        <is>
          <t>Glasgow's own claim to the dish, rebuilt on an aji amarillo and panca base. The crowd-pleaser that needs no explaining.</t>
        </is>
      </c>
      <c r="G37" s="27" t="inlineStr">
        <is>
          <t>Buffet</t>
        </is>
      </c>
      <c r="H37" s="27" t="inlineStr">
        <is>
          <t>No</t>
        </is>
      </c>
      <c r="I37" s="27" t="inlineStr">
        <is>
          <t>No</t>
        </is>
      </c>
      <c r="J37" s="27" t="inlineStr">
        <is>
          <t>Pollo, aji amarillo, aji panca, crema</t>
        </is>
      </c>
      <c r="K37" s="27" t="inlineStr">
        <is>
          <t>Makro; Surquillo N.1</t>
        </is>
      </c>
      <c r="L37" s="28" t="n">
        <v>10</v>
      </c>
      <c r="M37" s="29" t="n">
        <v>36</v>
      </c>
      <c r="N37" s="30">
        <f>IFERROR(L37/M37,"")</f>
        <v/>
      </c>
      <c r="O37" s="31" t="inlineStr">
        <is>
          <t>No - estimate</t>
        </is>
      </c>
      <c r="P37" s="31">
        <f>IF(N37="","",IF(N37&gt;0.32,"Reprice or resource",IF(N37&lt;0.2,"Check cost is realistic","OK")))</f>
        <v/>
      </c>
    </row>
    <row r="38" ht="23.85" customHeight="1" s="19">
      <c r="A38" s="27" t="n">
        <v>37</v>
      </c>
      <c r="B38" s="27" t="inlineStr">
        <is>
          <t>Bangers &amp; Chicha Mash</t>
        </is>
      </c>
      <c r="C38" s="27" t="inlineStr">
        <is>
          <t>Bangers and mash</t>
        </is>
      </c>
      <c r="D38" s="27" t="inlineStr">
        <is>
          <t>English</t>
        </is>
      </c>
      <c r="E38" s="27" t="inlineStr">
        <is>
          <t>Main</t>
        </is>
      </c>
      <c r="F38" s="27" t="inlineStr">
        <is>
          <t>Local butcher sausage with an onion gravy built on chicha de jora.</t>
        </is>
      </c>
      <c r="G38" s="27" t="inlineStr">
        <is>
          <t>Buffet</t>
        </is>
      </c>
      <c r="H38" s="27" t="inlineStr">
        <is>
          <t>No</t>
        </is>
      </c>
      <c r="I38" s="27" t="inlineStr">
        <is>
          <t>No</t>
        </is>
      </c>
      <c r="J38" s="27" t="inlineStr">
        <is>
          <t>Salchicha artesanal, chicha de jora, papa</t>
        </is>
      </c>
      <c r="K38" s="27" t="inlineStr">
        <is>
          <t>Artisanal butcher; Surquillo N.1</t>
        </is>
      </c>
      <c r="L38" s="28" t="n">
        <v>9</v>
      </c>
      <c r="M38" s="29" t="n">
        <v>32</v>
      </c>
      <c r="N38" s="30">
        <f>IFERROR(L38/M38,"")</f>
        <v/>
      </c>
      <c r="O38" s="31" t="inlineStr">
        <is>
          <t>No - estimate</t>
        </is>
      </c>
      <c r="P38" s="31">
        <f>IF(N38="","",IF(N38&gt;0.32,"Reprice or resource",IF(N38&lt;0.2,"Check cost is realistic","OK")))</f>
        <v/>
      </c>
    </row>
    <row r="39" ht="23.85" customHeight="1" s="19">
      <c r="A39" s="27" t="n">
        <v>38</v>
      </c>
      <c r="B39" s="27" t="inlineStr">
        <is>
          <t>Fish Supper, Yuca Chips</t>
        </is>
      </c>
      <c r="C39" s="27" t="inlineStr">
        <is>
          <t>Fish and chips</t>
        </is>
      </c>
      <c r="D39" s="27" t="inlineStr">
        <is>
          <t>Scottish</t>
        </is>
      </c>
      <c r="E39" s="27" t="inlineStr">
        <is>
          <t>Main</t>
        </is>
      </c>
      <c r="F39" s="27" t="inlineStr">
        <is>
          <t>Chita or cabrilla in beer batter, thick yuca chips, chicha-vinegar and chippy-sauce riff.</t>
        </is>
      </c>
      <c r="G39" s="27" t="inlineStr">
        <is>
          <t>Live station</t>
        </is>
      </c>
      <c r="H39" s="27" t="inlineStr">
        <is>
          <t>No</t>
        </is>
      </c>
      <c r="I39" s="27" t="inlineStr">
        <is>
          <t>No</t>
        </is>
      </c>
      <c r="J39" s="27" t="inlineStr">
        <is>
          <t>Chita/cabrilla, yuca, cerveza</t>
        </is>
      </c>
      <c r="K39" s="27" t="inlineStr">
        <is>
          <t>Terminal Pesquero VMT</t>
        </is>
      </c>
      <c r="L39" s="28" t="n">
        <v>14</v>
      </c>
      <c r="M39" s="29" t="n">
        <v>48</v>
      </c>
      <c r="N39" s="30">
        <f>IFERROR(L39/M39,"")</f>
        <v/>
      </c>
      <c r="O39" s="31" t="inlineStr">
        <is>
          <t>No - estimate</t>
        </is>
      </c>
      <c r="P39" s="31">
        <f>IF(N39="","",IF(N39&gt;0.32,"Reprice or resource",IF(N39&lt;0.2,"Check cost is realistic","OK")))</f>
        <v/>
      </c>
    </row>
    <row r="40" ht="23.85" customHeight="1" s="19">
      <c r="A40" s="27" t="n">
        <v>39</v>
      </c>
      <c r="B40" s="27" t="inlineStr">
        <is>
          <t>Roast Lamb, Huacatay Crust</t>
        </is>
      </c>
      <c r="C40" s="27" t="inlineStr">
        <is>
          <t>Roast lamb</t>
        </is>
      </c>
      <c r="D40" s="27" t="inlineStr">
        <is>
          <t>Scottish</t>
        </is>
      </c>
      <c r="E40" s="27" t="inlineStr">
        <is>
          <t>Main</t>
        </is>
      </c>
      <c r="F40" s="27" t="inlineStr">
        <is>
          <t>Andean lamb with a huacatay and oat crust in place of wild garlic and breadcrumb.</t>
        </is>
      </c>
      <c r="G40" s="27" t="inlineStr">
        <is>
          <t>Plated</t>
        </is>
      </c>
      <c r="H40" s="27" t="inlineStr">
        <is>
          <t>No</t>
        </is>
      </c>
      <c r="I40" s="27" t="inlineStr">
        <is>
          <t>No</t>
        </is>
      </c>
      <c r="J40" s="27" t="inlineStr">
        <is>
          <t>Cordero andino, huacatay, avena</t>
        </is>
      </c>
      <c r="K40" s="27" t="inlineStr">
        <is>
          <t>Mercado de Magdalena</t>
        </is>
      </c>
      <c r="L40" s="28" t="n">
        <v>20</v>
      </c>
      <c r="M40" s="29" t="n">
        <v>68</v>
      </c>
      <c r="N40" s="30">
        <f>IFERROR(L40/M40,"")</f>
        <v/>
      </c>
      <c r="O40" s="31" t="inlineStr">
        <is>
          <t>No - estimate</t>
        </is>
      </c>
      <c r="P40" s="31">
        <f>IF(N40="","",IF(N40&gt;0.32,"Reprice or resource",IF(N40&lt;0.2,"Check cost is realistic","OK")))</f>
        <v/>
      </c>
    </row>
    <row r="41" ht="23.85" customHeight="1" s="19">
      <c r="A41" s="27" t="n">
        <v>40</v>
      </c>
      <c r="B41" s="27" t="inlineStr">
        <is>
          <t>Whisky &amp; Chancaca Pork Belly</t>
        </is>
      </c>
      <c r="C41" s="27" t="inlineStr">
        <is>
          <t>Whisky-glazed pork</t>
        </is>
      </c>
      <c r="D41" s="27" t="inlineStr">
        <is>
          <t>Scottish</t>
        </is>
      </c>
      <c r="E41" s="27" t="inlineStr">
        <is>
          <t>Main</t>
        </is>
      </c>
      <c r="F41" s="27" t="inlineStr">
        <is>
          <t>Slow pork belly lacquered with whisky and chancaca; crackling finished to order.</t>
        </is>
      </c>
      <c r="G41" s="27" t="inlineStr">
        <is>
          <t>Buffet</t>
        </is>
      </c>
      <c r="H41" s="27" t="inlineStr">
        <is>
          <t>Yes</t>
        </is>
      </c>
      <c r="I41" s="27" t="inlineStr">
        <is>
          <t>No</t>
        </is>
      </c>
      <c r="J41" s="27" t="inlineStr">
        <is>
          <t>Panceta de cerdo, chancaca</t>
        </is>
      </c>
      <c r="K41" s="27" t="inlineStr">
        <is>
          <t>Artisanal butcher</t>
        </is>
      </c>
      <c r="L41" s="28" t="n">
        <v>11</v>
      </c>
      <c r="M41" s="29" t="n">
        <v>40</v>
      </c>
      <c r="N41" s="30">
        <f>IFERROR(L41/M41,"")</f>
        <v/>
      </c>
      <c r="O41" s="31" t="inlineStr">
        <is>
          <t>No - estimate</t>
        </is>
      </c>
      <c r="P41" s="31">
        <f>IF(N41="","",IF(N41&gt;0.32,"Reprice or resource",IF(N41&lt;0.2,"Check cost is realistic","OK")))</f>
        <v/>
      </c>
    </row>
    <row r="42" ht="23.85" customHeight="1" s="19">
      <c r="A42" s="27" t="n">
        <v>41</v>
      </c>
      <c r="B42" s="27" t="inlineStr">
        <is>
          <t>Irn Bru Glazed Ham</t>
        </is>
      </c>
      <c r="C42" s="27" t="inlineStr">
        <is>
          <t>Irn Bru glazed ham</t>
        </is>
      </c>
      <c r="D42" s="27" t="inlineStr">
        <is>
          <t>Scottish</t>
        </is>
      </c>
      <c r="E42" s="27" t="inlineStr">
        <is>
          <t>Main</t>
        </is>
      </c>
      <c r="F42" s="27" t="inlineStr">
        <is>
          <t>Whole gammon glazed with reduced Irn Bru - a far better use of an expensive imported can than pouring it.</t>
        </is>
      </c>
      <c r="G42" s="27" t="inlineStr">
        <is>
          <t>Buffet</t>
        </is>
      </c>
      <c r="H42" s="27" t="inlineStr">
        <is>
          <t>No</t>
        </is>
      </c>
      <c r="I42" s="27" t="inlineStr">
        <is>
          <t>No</t>
        </is>
      </c>
      <c r="J42" s="27" t="inlineStr">
        <is>
          <t>Pierna de cerdo, Irn Bru (import), clavo</t>
        </is>
      </c>
      <c r="K42" s="27" t="inlineStr">
        <is>
          <t>Artisanal butcher; UK importer</t>
        </is>
      </c>
      <c r="L42" s="28" t="n">
        <v>12</v>
      </c>
      <c r="M42" s="29" t="n">
        <v>42</v>
      </c>
      <c r="N42" s="30">
        <f>IFERROR(L42/M42,"")</f>
        <v/>
      </c>
      <c r="O42" s="31" t="inlineStr">
        <is>
          <t>No - estimate</t>
        </is>
      </c>
      <c r="P42" s="31">
        <f>IF(N42="","",IF(N42&gt;0.32,"Reprice or resource",IF(N42&lt;0.2,"Check cost is realistic","OK")))</f>
        <v/>
      </c>
    </row>
    <row r="43" ht="15" customHeight="1" s="19">
      <c r="A43" s="27" t="n">
        <v>42</v>
      </c>
      <c r="B43" s="27" t="inlineStr">
        <is>
          <t>Souvlaki de Cordero</t>
        </is>
      </c>
      <c r="C43" s="27" t="inlineStr">
        <is>
          <t>Souvlaki</t>
        </is>
      </c>
      <c r="D43" s="27" t="inlineStr">
        <is>
          <t>Greek</t>
        </is>
      </c>
      <c r="E43" s="27" t="inlineStr">
        <is>
          <t>Main</t>
        </is>
      </c>
      <c r="F43" s="27" t="inlineStr">
        <is>
          <t>Skewered lamb, oregano and huacatay, with a pita or pan chuta option.</t>
        </is>
      </c>
      <c r="G43" s="27" t="inlineStr">
        <is>
          <t>Live station</t>
        </is>
      </c>
      <c r="H43" s="27" t="inlineStr">
        <is>
          <t>No</t>
        </is>
      </c>
      <c r="I43" s="27" t="inlineStr">
        <is>
          <t>No</t>
        </is>
      </c>
      <c r="J43" s="27" t="inlineStr">
        <is>
          <t>Cordero, oregano, huacatay</t>
        </is>
      </c>
      <c r="K43" s="27" t="inlineStr">
        <is>
          <t>Mercado de Magdalena</t>
        </is>
      </c>
      <c r="L43" s="28" t="n">
        <v>11</v>
      </c>
      <c r="M43" s="29" t="n">
        <v>38</v>
      </c>
      <c r="N43" s="30">
        <f>IFERROR(L43/M43,"")</f>
        <v/>
      </c>
      <c r="O43" s="31" t="inlineStr">
        <is>
          <t>No - estimate</t>
        </is>
      </c>
      <c r="P43" s="31">
        <f>IF(N43="","",IF(N43&gt;0.32,"Reprice or resource",IF(N43&lt;0.2,"Check cost is realistic","OK")))</f>
        <v/>
      </c>
    </row>
    <row r="44" ht="15" customHeight="1" s="19">
      <c r="A44" s="27" t="n">
        <v>43</v>
      </c>
      <c r="B44" s="27" t="inlineStr">
        <is>
          <t>Corvina al Pil-Pil</t>
        </is>
      </c>
      <c r="C44" s="27" t="inlineStr">
        <is>
          <t>Bacalao al pil-pil</t>
        </is>
      </c>
      <c r="D44" s="27" t="inlineStr">
        <is>
          <t>Basque</t>
        </is>
      </c>
      <c r="E44" s="27" t="inlineStr">
        <is>
          <t>Main</t>
        </is>
      </c>
      <c r="F44" s="27" t="inlineStr">
        <is>
          <t>Local corvina emulsified in olive oil and garlic; Tacna olive and aji limo finish.</t>
        </is>
      </c>
      <c r="G44" s="27" t="inlineStr">
        <is>
          <t>Plated</t>
        </is>
      </c>
      <c r="H44" s="27" t="inlineStr">
        <is>
          <t>No</t>
        </is>
      </c>
      <c r="I44" s="27" t="inlineStr">
        <is>
          <t>No</t>
        </is>
      </c>
      <c r="J44" s="27" t="inlineStr">
        <is>
          <t>Corvina, aceite de oliva, aji limo</t>
        </is>
      </c>
      <c r="K44" s="27" t="inlineStr">
        <is>
          <t>Terminal Pesquero VMT</t>
        </is>
      </c>
      <c r="L44" s="28" t="n">
        <v>18</v>
      </c>
      <c r="M44" s="29" t="n">
        <v>62</v>
      </c>
      <c r="N44" s="30">
        <f>IFERROR(L44/M44,"")</f>
        <v/>
      </c>
      <c r="O44" s="31" t="inlineStr">
        <is>
          <t>No - estimate</t>
        </is>
      </c>
      <c r="P44" s="31">
        <f>IF(N44="","",IF(N44&gt;0.32,"Reprice or resource",IF(N44&lt;0.2,"Check cost is realistic","OK")))</f>
        <v/>
      </c>
    </row>
    <row r="45" ht="23.85" customHeight="1" s="19">
      <c r="A45" s="27" t="n">
        <v>44</v>
      </c>
      <c r="B45" s="27" t="inlineStr">
        <is>
          <t>Paiche Gravlax Plate</t>
        </is>
      </c>
      <c r="C45" s="27" t="inlineStr">
        <is>
          <t>Gravlax</t>
        </is>
      </c>
      <c r="D45" s="27" t="inlineStr">
        <is>
          <t>Nordic</t>
        </is>
      </c>
      <c r="E45" s="27" t="inlineStr">
        <is>
          <t>Main</t>
        </is>
      </c>
      <c r="F45" s="27" t="inlineStr">
        <is>
          <t>Cured paiche or trout, mustard-algarrobina sauce, rye and pickles. Zero cooking on site.</t>
        </is>
      </c>
      <c r="G45" s="27" t="inlineStr">
        <is>
          <t>Drop-off</t>
        </is>
      </c>
      <c r="H45" s="27" t="inlineStr">
        <is>
          <t>No</t>
        </is>
      </c>
      <c r="I45" s="27" t="inlineStr">
        <is>
          <t>No</t>
        </is>
      </c>
      <c r="J45" s="27" t="inlineStr">
        <is>
          <t>Paiche/trucha, algarrobina, mostaza</t>
        </is>
      </c>
      <c r="K45" s="27" t="inlineStr">
        <is>
          <t>Terminal Pesquero VMT</t>
        </is>
      </c>
      <c r="L45" s="28" t="n">
        <v>16</v>
      </c>
      <c r="M45" s="29" t="n">
        <v>55</v>
      </c>
      <c r="N45" s="30">
        <f>IFERROR(L45/M45,"")</f>
        <v/>
      </c>
      <c r="O45" s="31" t="inlineStr">
        <is>
          <t>No - estimate</t>
        </is>
      </c>
      <c r="P45" s="31">
        <f>IF(N45="","",IF(N45&gt;0.32,"Reprice or resource",IF(N45&lt;0.2,"Check cost is realistic","OK")))</f>
        <v/>
      </c>
    </row>
    <row r="46" ht="23.85" customHeight="1" s="19">
      <c r="A46" s="27" t="n">
        <v>45</v>
      </c>
      <c r="B46" s="27" t="inlineStr">
        <is>
          <t>Neeps &amp; Tatties Wellington</t>
        </is>
      </c>
      <c r="C46" s="27" t="inlineStr">
        <is>
          <t>Neeps and tatties</t>
        </is>
      </c>
      <c r="D46" s="27" t="inlineStr">
        <is>
          <t>Scottish</t>
        </is>
      </c>
      <c r="E46" s="27" t="inlineStr">
        <is>
          <t>Main</t>
        </is>
      </c>
      <c r="F46" s="27" t="inlineStr">
        <is>
          <t>Vegetarian centrepiece: root purees and mushroom in puff pastry, aji amarillo jus.</t>
        </is>
      </c>
      <c r="G46" s="27" t="inlineStr">
        <is>
          <t>Plated</t>
        </is>
      </c>
      <c r="H46" s="27" t="inlineStr">
        <is>
          <t>No</t>
        </is>
      </c>
      <c r="I46" s="27" t="inlineStr">
        <is>
          <t>Yes</t>
        </is>
      </c>
      <c r="J46" s="27" t="inlineStr">
        <is>
          <t>Nabo, zapallo, papa, championes</t>
        </is>
      </c>
      <c r="K46" s="27" t="inlineStr">
        <is>
          <t>Surquillo N.1</t>
        </is>
      </c>
      <c r="L46" s="28" t="n">
        <v>8</v>
      </c>
      <c r="M46" s="29" t="n">
        <v>32</v>
      </c>
      <c r="N46" s="30">
        <f>IFERROR(L46/M46,"")</f>
        <v/>
      </c>
      <c r="O46" s="31" t="inlineStr">
        <is>
          <t>No - estimate</t>
        </is>
      </c>
      <c r="P46" s="31">
        <f>IF(N46="","",IF(N46&gt;0.32,"Reprice or resource",IF(N46&lt;0.2,"Check cost is realistic","OK")))</f>
        <v/>
      </c>
    </row>
    <row r="47" ht="15" customHeight="1" s="19">
      <c r="A47" s="27" t="n">
        <v>46</v>
      </c>
      <c r="B47" s="27" t="inlineStr">
        <is>
          <t>Rumbledethumps</t>
        </is>
      </c>
      <c r="C47" s="27" t="inlineStr">
        <is>
          <t>Rumbledethumps</t>
        </is>
      </c>
      <c r="D47" s="27" t="inlineStr">
        <is>
          <t>Scottish</t>
        </is>
      </c>
      <c r="E47" s="27" t="inlineStr">
        <is>
          <t>Side</t>
        </is>
      </c>
      <c r="F47" s="27" t="inlineStr">
        <is>
          <t>Potato and cabbage bake using native potatoes and queso paria on top.</t>
        </is>
      </c>
      <c r="G47" s="27" t="inlineStr">
        <is>
          <t>Buffet</t>
        </is>
      </c>
      <c r="H47" s="27" t="inlineStr">
        <is>
          <t>No</t>
        </is>
      </c>
      <c r="I47" s="27" t="inlineStr">
        <is>
          <t>Yes</t>
        </is>
      </c>
      <c r="J47" s="27" t="inlineStr">
        <is>
          <t>Papa nativa, col, queso paria</t>
        </is>
      </c>
      <c r="K47" s="27" t="inlineStr">
        <is>
          <t>Surquillo N.1</t>
        </is>
      </c>
      <c r="L47" s="28" t="n">
        <v>3.5</v>
      </c>
      <c r="M47" s="29" t="n">
        <v>14</v>
      </c>
      <c r="N47" s="30">
        <f>IFERROR(L47/M47,"")</f>
        <v/>
      </c>
      <c r="O47" s="31" t="inlineStr">
        <is>
          <t>No - estimate</t>
        </is>
      </c>
      <c r="P47" s="31">
        <f>IF(N47="","",IF(N47&gt;0.32,"Reprice or resource",IF(N47&lt;0.2,"Check cost is realistic","OK")))</f>
        <v/>
      </c>
    </row>
    <row r="48" ht="23.85" customHeight="1" s="19">
      <c r="A48" s="27" t="n">
        <v>47</v>
      </c>
      <c r="B48" s="27" t="inlineStr">
        <is>
          <t>Clapshot</t>
        </is>
      </c>
      <c r="C48" s="27" t="inlineStr">
        <is>
          <t>Clapshot</t>
        </is>
      </c>
      <c r="D48" s="27" t="inlineStr">
        <is>
          <t>Scottish</t>
        </is>
      </c>
      <c r="E48" s="27" t="inlineStr">
        <is>
          <t>Side</t>
        </is>
      </c>
      <c r="F48" s="27" t="inlineStr">
        <is>
          <t>Orkney mash of potato and swede; zapallo loche adds depth the swede alone cannot.</t>
        </is>
      </c>
      <c r="G48" s="27" t="inlineStr">
        <is>
          <t>Buffet</t>
        </is>
      </c>
      <c r="H48" s="27" t="inlineStr">
        <is>
          <t>No</t>
        </is>
      </c>
      <c r="I48" s="27" t="inlineStr">
        <is>
          <t>Yes</t>
        </is>
      </c>
      <c r="J48" s="27" t="inlineStr">
        <is>
          <t>Papa, nabo, zapallo loche</t>
        </is>
      </c>
      <c r="K48" s="27" t="inlineStr">
        <is>
          <t>Surquillo N.1</t>
        </is>
      </c>
      <c r="L48" s="28" t="n">
        <v>3</v>
      </c>
      <c r="M48" s="29" t="n">
        <v>12</v>
      </c>
      <c r="N48" s="30">
        <f>IFERROR(L48/M48,"")</f>
        <v/>
      </c>
      <c r="O48" s="31" t="inlineStr">
        <is>
          <t>No - estimate</t>
        </is>
      </c>
      <c r="P48" s="31">
        <f>IF(N48="","",IF(N48&gt;0.32,"Reprice or resource",IF(N48&lt;0.2,"Check cost is realistic","OK")))</f>
        <v/>
      </c>
    </row>
    <row r="49" ht="23.85" customHeight="1" s="19">
      <c r="A49" s="27" t="n">
        <v>48</v>
      </c>
      <c r="B49" s="27" t="inlineStr">
        <is>
          <t>Neeps &amp; Tatties Causa</t>
        </is>
      </c>
      <c r="C49" s="27" t="inlineStr">
        <is>
          <t>Neeps and tatties</t>
        </is>
      </c>
      <c r="D49" s="27" t="inlineStr">
        <is>
          <t>Scottish</t>
        </is>
      </c>
      <c r="E49" s="27" t="inlineStr">
        <is>
          <t>Side</t>
        </is>
      </c>
      <c r="F49" s="27" t="inlineStr">
        <is>
          <t>Served as a cold causa: layered yellow potato with a swede and carrot puree.</t>
        </is>
      </c>
      <c r="G49" s="27" t="inlineStr">
        <is>
          <t>Drop-off</t>
        </is>
      </c>
      <c r="H49" s="27" t="inlineStr">
        <is>
          <t>No</t>
        </is>
      </c>
      <c r="I49" s="27" t="inlineStr">
        <is>
          <t>Yes</t>
        </is>
      </c>
      <c r="J49" s="27" t="inlineStr">
        <is>
          <t>Papa amarilla, nabo, zanahoria</t>
        </is>
      </c>
      <c r="K49" s="27" t="inlineStr">
        <is>
          <t>Surquillo N.1</t>
        </is>
      </c>
      <c r="L49" s="28" t="n">
        <v>3.2</v>
      </c>
      <c r="M49" s="29" t="n">
        <v>13</v>
      </c>
      <c r="N49" s="30">
        <f>IFERROR(L49/M49,"")</f>
        <v/>
      </c>
      <c r="O49" s="31" t="inlineStr">
        <is>
          <t>No - estimate</t>
        </is>
      </c>
      <c r="P49" s="31">
        <f>IF(N49="","",IF(N49&gt;0.32,"Reprice or resource",IF(N49&lt;0.2,"Check cost is realistic","OK")))</f>
        <v/>
      </c>
    </row>
    <row r="50" ht="23.85" customHeight="1" s="19">
      <c r="A50" s="27" t="n">
        <v>49</v>
      </c>
      <c r="B50" s="27" t="inlineStr">
        <is>
          <t>Quinoa Skirlie</t>
        </is>
      </c>
      <c r="C50" s="27" t="inlineStr">
        <is>
          <t>Skirlie</t>
        </is>
      </c>
      <c r="D50" s="27" t="inlineStr">
        <is>
          <t>Scottish</t>
        </is>
      </c>
      <c r="E50" s="27" t="inlineStr">
        <is>
          <t>Side</t>
        </is>
      </c>
      <c r="F50" s="27" t="inlineStr">
        <is>
          <t>Toasted quinoa and oats fried with onion in dripping - a direct one-for-one swap.</t>
        </is>
      </c>
      <c r="G50" s="27" t="inlineStr">
        <is>
          <t>Buffet</t>
        </is>
      </c>
      <c r="H50" s="27" t="inlineStr">
        <is>
          <t>No</t>
        </is>
      </c>
      <c r="I50" s="27" t="inlineStr">
        <is>
          <t>No</t>
        </is>
      </c>
      <c r="J50" s="27" t="inlineStr">
        <is>
          <t>Quinua, avena, cebolla</t>
        </is>
      </c>
      <c r="K50" s="27" t="inlineStr">
        <is>
          <t>Makro</t>
        </is>
      </c>
      <c r="L50" s="28" t="n">
        <v>2.4</v>
      </c>
      <c r="M50" s="29" t="n">
        <v>10</v>
      </c>
      <c r="N50" s="30">
        <f>IFERROR(L50/M50,"")</f>
        <v/>
      </c>
      <c r="O50" s="31" t="inlineStr">
        <is>
          <t>No - estimate</t>
        </is>
      </c>
      <c r="P50" s="31">
        <f>IF(N50="","",IF(N50&gt;0.32,"Reprice or resource",IF(N50&lt;0.2,"Check cost is realistic","OK")))</f>
        <v/>
      </c>
    </row>
    <row r="51" ht="23.85" customHeight="1" s="19">
      <c r="A51" s="27" t="n">
        <v>50</v>
      </c>
      <c r="B51" s="27" t="inlineStr">
        <is>
          <t>Colcannon with Kale</t>
        </is>
      </c>
      <c r="C51" s="27" t="inlineStr">
        <is>
          <t>Colcannon</t>
        </is>
      </c>
      <c r="D51" s="27" t="inlineStr">
        <is>
          <t>Scottish</t>
        </is>
      </c>
      <c r="E51" s="27" t="inlineStr">
        <is>
          <t>Side</t>
        </is>
      </c>
      <c r="F51" s="27" t="inlineStr">
        <is>
          <t>Mash through kale and spring onion; native potato changes the texture for the better.</t>
        </is>
      </c>
      <c r="G51" s="27" t="inlineStr">
        <is>
          <t>Buffet</t>
        </is>
      </c>
      <c r="H51" s="27" t="inlineStr">
        <is>
          <t>No</t>
        </is>
      </c>
      <c r="I51" s="27" t="inlineStr">
        <is>
          <t>Yes</t>
        </is>
      </c>
      <c r="J51" s="27" t="inlineStr">
        <is>
          <t>Papa nativa, kale, cebolla china</t>
        </is>
      </c>
      <c r="K51" s="27" t="inlineStr">
        <is>
          <t>Surquillo N.1</t>
        </is>
      </c>
      <c r="L51" s="28" t="n">
        <v>3</v>
      </c>
      <c r="M51" s="29" t="n">
        <v>12</v>
      </c>
      <c r="N51" s="30">
        <f>IFERROR(L51/M51,"")</f>
        <v/>
      </c>
      <c r="O51" s="31" t="inlineStr">
        <is>
          <t>No - estimate</t>
        </is>
      </c>
      <c r="P51" s="31">
        <f>IF(N51="","",IF(N51&gt;0.32,"Reprice or resource",IF(N51&lt;0.2,"Check cost is realistic","OK")))</f>
        <v/>
      </c>
    </row>
    <row r="52" ht="23.85" customHeight="1" s="19">
      <c r="A52" s="27" t="n">
        <v>51</v>
      </c>
      <c r="B52" s="27" t="inlineStr">
        <is>
          <t>Tattie Scones</t>
        </is>
      </c>
      <c r="C52" s="27" t="inlineStr">
        <is>
          <t>Tattie scone</t>
        </is>
      </c>
      <c r="D52" s="27" t="inlineStr">
        <is>
          <t>Scottish</t>
        </is>
      </c>
      <c r="E52" s="27" t="inlineStr">
        <is>
          <t>Side</t>
        </is>
      </c>
      <c r="F52" s="27" t="inlineStr">
        <is>
          <t>Griddled potato flatbread. Cheapest, most useful item you own - base for a dozen others.</t>
        </is>
      </c>
      <c r="G52" s="27" t="inlineStr">
        <is>
          <t>Drop-off</t>
        </is>
      </c>
      <c r="H52" s="27" t="inlineStr">
        <is>
          <t>No</t>
        </is>
      </c>
      <c r="I52" s="27" t="inlineStr">
        <is>
          <t>Yes</t>
        </is>
      </c>
      <c r="J52" s="27" t="inlineStr">
        <is>
          <t>Papa amarilla, harina</t>
        </is>
      </c>
      <c r="K52" s="27" t="inlineStr">
        <is>
          <t>Surquillo N.1; Makro</t>
        </is>
      </c>
      <c r="L52" s="28" t="n">
        <v>1.2</v>
      </c>
      <c r="M52" s="29" t="n">
        <v>6</v>
      </c>
      <c r="N52" s="30">
        <f>IFERROR(L52/M52,"")</f>
        <v/>
      </c>
      <c r="O52" s="31" t="inlineStr">
        <is>
          <t>No - estimate</t>
        </is>
      </c>
      <c r="P52" s="31">
        <f>IF(N52="","",IF(N52&gt;0.32,"Reprice or resource",IF(N52&lt;0.2,"Check cost is realistic","OK")))</f>
        <v/>
      </c>
    </row>
    <row r="53" ht="15" customHeight="1" s="19">
      <c r="A53" s="27" t="n">
        <v>52</v>
      </c>
      <c r="B53" s="27" t="inlineStr">
        <is>
          <t>Oatcakes (three thicknesses)</t>
        </is>
      </c>
      <c r="C53" s="27" t="inlineStr">
        <is>
          <t>Oatcakes</t>
        </is>
      </c>
      <c r="D53" s="27" t="inlineStr">
        <is>
          <t>Scottish</t>
        </is>
      </c>
      <c r="E53" s="27" t="inlineStr">
        <is>
          <t>Side</t>
        </is>
      </c>
      <c r="F53" s="27" t="inlineStr">
        <is>
          <t>Platform product: thin for canapes, thick for cheese, fine for pate.</t>
        </is>
      </c>
      <c r="G53" s="27" t="inlineStr">
        <is>
          <t>Drop-off</t>
        </is>
      </c>
      <c r="H53" s="27" t="inlineStr">
        <is>
          <t>No</t>
        </is>
      </c>
      <c r="I53" s="27" t="inlineStr">
        <is>
          <t>Yes</t>
        </is>
      </c>
      <c r="J53" s="27" t="inlineStr">
        <is>
          <t>Avena, sal, manteca</t>
        </is>
      </c>
      <c r="K53" s="27" t="inlineStr">
        <is>
          <t>Makro</t>
        </is>
      </c>
      <c r="L53" s="28" t="n">
        <v>0.9</v>
      </c>
      <c r="M53" s="29" t="n">
        <v>5</v>
      </c>
      <c r="N53" s="30">
        <f>IFERROR(L53/M53,"")</f>
        <v/>
      </c>
      <c r="O53" s="31" t="inlineStr">
        <is>
          <t>No - estimate</t>
        </is>
      </c>
      <c r="P53" s="31">
        <f>IF(N53="","",IF(N53&gt;0.32,"Reprice or resource",IF(N53&lt;0.2,"Check cost is realistic","OK")))</f>
        <v/>
      </c>
    </row>
    <row r="54" ht="23.85" customHeight="1" s="19">
      <c r="A54" s="27" t="n">
        <v>53</v>
      </c>
      <c r="B54" s="27" t="inlineStr">
        <is>
          <t>Yorkshire Puddings</t>
        </is>
      </c>
      <c r="C54" s="27" t="inlineStr">
        <is>
          <t>Yorkshire pudding</t>
        </is>
      </c>
      <c r="D54" s="27" t="inlineStr">
        <is>
          <t>English</t>
        </is>
      </c>
      <c r="E54" s="27" t="inlineStr">
        <is>
          <t>Side</t>
        </is>
      </c>
      <c r="F54" s="27" t="inlineStr">
        <is>
          <t>Classic batter with a rosemary note; must be baked on site or served within the hour.</t>
        </is>
      </c>
      <c r="G54" s="27" t="inlineStr">
        <is>
          <t>Live station</t>
        </is>
      </c>
      <c r="H54" s="27" t="inlineStr">
        <is>
          <t>No</t>
        </is>
      </c>
      <c r="I54" s="27" t="inlineStr">
        <is>
          <t>Yes</t>
        </is>
      </c>
      <c r="J54" s="27" t="inlineStr">
        <is>
          <t>Harina, huevo, leche</t>
        </is>
      </c>
      <c r="K54" s="27" t="inlineStr">
        <is>
          <t>Makro</t>
        </is>
      </c>
      <c r="L54" s="28" t="n">
        <v>1.4</v>
      </c>
      <c r="M54" s="29" t="n">
        <v>6</v>
      </c>
      <c r="N54" s="30">
        <f>IFERROR(L54/M54,"")</f>
        <v/>
      </c>
      <c r="O54" s="31" t="inlineStr">
        <is>
          <t>No - estimate</t>
        </is>
      </c>
      <c r="P54" s="31">
        <f>IF(N54="","",IF(N54&gt;0.32,"Reprice or resource",IF(N54&lt;0.2,"Check cost is realistic","OK")))</f>
        <v/>
      </c>
    </row>
    <row r="55" ht="15" customHeight="1" s="19">
      <c r="A55" s="27" t="n">
        <v>54</v>
      </c>
      <c r="B55" s="27" t="inlineStr">
        <is>
          <t>Buttered Choclo &amp; Kale</t>
        </is>
      </c>
      <c r="C55" s="27" t="inlineStr">
        <is>
          <t>Buttered greens</t>
        </is>
      </c>
      <c r="D55" s="27" t="inlineStr">
        <is>
          <t>Scottish</t>
        </is>
      </c>
      <c r="E55" s="27" t="inlineStr">
        <is>
          <t>Side</t>
        </is>
      </c>
      <c r="F55" s="27" t="inlineStr">
        <is>
          <t>Giant Andean corn and kale in brown butter.</t>
        </is>
      </c>
      <c r="G55" s="27" t="inlineStr">
        <is>
          <t>Buffet</t>
        </is>
      </c>
      <c r="H55" s="27" t="inlineStr">
        <is>
          <t>No</t>
        </is>
      </c>
      <c r="I55" s="27" t="inlineStr">
        <is>
          <t>Yes</t>
        </is>
      </c>
      <c r="J55" s="27" t="inlineStr">
        <is>
          <t>Choclo, kale, mantequilla</t>
        </is>
      </c>
      <c r="K55" s="27" t="inlineStr">
        <is>
          <t>Surquillo N.1</t>
        </is>
      </c>
      <c r="L55" s="28" t="n">
        <v>3</v>
      </c>
      <c r="M55" s="29" t="n">
        <v>12</v>
      </c>
      <c r="N55" s="30">
        <f>IFERROR(L55/M55,"")</f>
        <v/>
      </c>
      <c r="O55" s="31" t="inlineStr">
        <is>
          <t>No - estimate</t>
        </is>
      </c>
      <c r="P55" s="31">
        <f>IF(N55="","",IF(N55&gt;0.32,"Reprice or resource",IF(N55&lt;0.2,"Check cost is realistic","OK")))</f>
        <v/>
      </c>
    </row>
    <row r="56" ht="15" customHeight="1" s="19">
      <c r="A56" s="27" t="n">
        <v>55</v>
      </c>
      <c r="B56" s="27" t="inlineStr">
        <is>
          <t>Andean Root Mash</t>
        </is>
      </c>
      <c r="C56" s="27" t="inlineStr">
        <is>
          <t>Mashed root vegetables</t>
        </is>
      </c>
      <c r="D56" s="27" t="inlineStr">
        <is>
          <t>Scottish</t>
        </is>
      </c>
      <c r="E56" s="27" t="inlineStr">
        <is>
          <t>Side</t>
        </is>
      </c>
      <c r="F56" s="27" t="inlineStr">
        <is>
          <t>Camote and papa amarilla whipped with European butter.</t>
        </is>
      </c>
      <c r="G56" s="27" t="inlineStr">
        <is>
          <t>Buffet</t>
        </is>
      </c>
      <c r="H56" s="27" t="inlineStr">
        <is>
          <t>No</t>
        </is>
      </c>
      <c r="I56" s="27" t="inlineStr">
        <is>
          <t>Yes</t>
        </is>
      </c>
      <c r="J56" s="27" t="inlineStr">
        <is>
          <t>Camote, papa amarilla, mantequilla</t>
        </is>
      </c>
      <c r="K56" s="27" t="inlineStr">
        <is>
          <t>Surquillo N.1; Vivanda</t>
        </is>
      </c>
      <c r="L56" s="28" t="n">
        <v>3.2</v>
      </c>
      <c r="M56" s="29" t="n">
        <v>13</v>
      </c>
      <c r="N56" s="30">
        <f>IFERROR(L56/M56,"")</f>
        <v/>
      </c>
      <c r="O56" s="31" t="inlineStr">
        <is>
          <t>No - estimate</t>
        </is>
      </c>
      <c r="P56" s="31">
        <f>IF(N56="","",IF(N56&gt;0.32,"Reprice or resource",IF(N56&lt;0.2,"Check cost is realistic","OK")))</f>
        <v/>
      </c>
    </row>
    <row r="57" ht="15" customHeight="1" s="19">
      <c r="A57" s="27" t="n">
        <v>56</v>
      </c>
      <c r="B57" s="27" t="inlineStr">
        <is>
          <t>Chicha-Braised Red Cabbage</t>
        </is>
      </c>
      <c r="C57" s="27" t="inlineStr">
        <is>
          <t>Braised red cabbage</t>
        </is>
      </c>
      <c r="D57" s="27" t="inlineStr">
        <is>
          <t>English</t>
        </is>
      </c>
      <c r="E57" s="27" t="inlineStr">
        <is>
          <t>Side</t>
        </is>
      </c>
      <c r="F57" s="27" t="inlineStr">
        <is>
          <t>Chicha morada replaces the red wine and spice in the braise.</t>
        </is>
      </c>
      <c r="G57" s="27" t="inlineStr">
        <is>
          <t>Buffet</t>
        </is>
      </c>
      <c r="H57" s="27" t="inlineStr">
        <is>
          <t>No</t>
        </is>
      </c>
      <c r="I57" s="27" t="inlineStr">
        <is>
          <t>Yes</t>
        </is>
      </c>
      <c r="J57" s="27" t="inlineStr">
        <is>
          <t>Col morada, chicha morada, canela</t>
        </is>
      </c>
      <c r="K57" s="27" t="inlineStr">
        <is>
          <t>Surquillo N.1</t>
        </is>
      </c>
      <c r="L57" s="28" t="n">
        <v>2.6</v>
      </c>
      <c r="M57" s="29" t="n">
        <v>11</v>
      </c>
      <c r="N57" s="30">
        <f>IFERROR(L57/M57,"")</f>
        <v/>
      </c>
      <c r="O57" s="31" t="inlineStr">
        <is>
          <t>No - estimate</t>
        </is>
      </c>
      <c r="P57" s="31">
        <f>IF(N57="","",IF(N57&gt;0.32,"Reprice or resource",IF(N57&lt;0.2,"Check cost is realistic","OK")))</f>
        <v/>
      </c>
    </row>
    <row r="58" ht="15" customHeight="1" s="19">
      <c r="A58" s="27" t="n">
        <v>57</v>
      </c>
      <c r="B58" s="27" t="inlineStr">
        <is>
          <t>Ica Asparagus, Algarrobina</t>
        </is>
      </c>
      <c r="C58" s="27" t="inlineStr">
        <is>
          <t>Asparagus with heather honey</t>
        </is>
      </c>
      <c r="D58" s="27" t="inlineStr">
        <is>
          <t>Scottish</t>
        </is>
      </c>
      <c r="E58" s="27" t="inlineStr">
        <is>
          <t>Side</t>
        </is>
      </c>
      <c r="F58" s="27" t="inlineStr">
        <is>
          <t>Roasted Ica asparagus finished with algarrobina instead of heather honey.</t>
        </is>
      </c>
      <c r="G58" s="27" t="inlineStr">
        <is>
          <t>Buffet</t>
        </is>
      </c>
      <c r="H58" s="27" t="inlineStr">
        <is>
          <t>No</t>
        </is>
      </c>
      <c r="I58" s="27" t="inlineStr">
        <is>
          <t>Yes</t>
        </is>
      </c>
      <c r="J58" s="27" t="inlineStr">
        <is>
          <t>Esparragos de Ica, algarrobina</t>
        </is>
      </c>
      <c r="K58" s="27" t="inlineStr">
        <is>
          <t>Surquillo N.1</t>
        </is>
      </c>
      <c r="L58" s="28" t="n">
        <v>5</v>
      </c>
      <c r="M58" s="29" t="n">
        <v>18</v>
      </c>
      <c r="N58" s="30">
        <f>IFERROR(L58/M58,"")</f>
        <v/>
      </c>
      <c r="O58" s="31" t="inlineStr">
        <is>
          <t>No - estimate</t>
        </is>
      </c>
      <c r="P58" s="31">
        <f>IF(N58="","",IF(N58&gt;0.32,"Reprice or resource",IF(N58&lt;0.2,"Check cost is realistic","OK")))</f>
        <v/>
      </c>
    </row>
    <row r="59" ht="23.85" customHeight="1" s="19">
      <c r="A59" s="27" t="n">
        <v>58</v>
      </c>
      <c r="B59" s="27" t="inlineStr">
        <is>
          <t>Full Scottish Brunch (station)</t>
        </is>
      </c>
      <c r="C59" s="27" t="inlineStr">
        <is>
          <t>Full Scottish breakfast</t>
        </is>
      </c>
      <c r="D59" s="27" t="inlineStr">
        <is>
          <t>Scottish</t>
        </is>
      </c>
      <c r="E59" s="27" t="inlineStr">
        <is>
          <t>Breakfast</t>
        </is>
      </c>
      <c r="F59" s="27" t="inlineStr">
        <is>
          <t>Live plancha service: eggs, bacon, Lorne, black pudding, tattie scone, house beans with chancaca-tomato base.</t>
        </is>
      </c>
      <c r="G59" s="27" t="inlineStr">
        <is>
          <t>Live station</t>
        </is>
      </c>
      <c r="H59" s="27" t="inlineStr">
        <is>
          <t>No</t>
        </is>
      </c>
      <c r="I59" s="27" t="inlineStr">
        <is>
          <t>No</t>
        </is>
      </c>
      <c r="J59" s="27" t="inlineStr">
        <is>
          <t>Huevos, tocino, morcilla, papa, frijoles</t>
        </is>
      </c>
      <c r="K59" s="27" t="inlineStr">
        <is>
          <t>Makro; artisanal butcher</t>
        </is>
      </c>
      <c r="L59" s="28" t="n">
        <v>12</v>
      </c>
      <c r="M59" s="29" t="n">
        <v>45</v>
      </c>
      <c r="N59" s="30">
        <f>IFERROR(L59/M59,"")</f>
        <v/>
      </c>
      <c r="O59" s="31" t="inlineStr">
        <is>
          <t>No - estimate</t>
        </is>
      </c>
      <c r="P59" s="31">
        <f>IF(N59="","",IF(N59&gt;0.32,"Reprice or resource",IF(N59&lt;0.2,"Check cost is realistic","OK")))</f>
        <v/>
      </c>
    </row>
    <row r="60" ht="23.85" customHeight="1" s="19">
      <c r="A60" s="27" t="n">
        <v>59</v>
      </c>
      <c r="B60" s="27" t="inlineStr">
        <is>
          <t>The Glasgow Roll</t>
        </is>
      </c>
      <c r="C60" s="27" t="inlineStr">
        <is>
          <t>Morning roll with square sausage</t>
        </is>
      </c>
      <c r="D60" s="27" t="inlineStr">
        <is>
          <t>Scottish</t>
        </is>
      </c>
      <c r="E60" s="27" t="inlineStr">
        <is>
          <t>Breakfast</t>
        </is>
      </c>
      <c r="F60" s="27" t="inlineStr">
        <is>
          <t>Morning roll, Lorne sausage, tattie scone, fried egg, brown sauce. Your corporate breakfast workhorse.</t>
        </is>
      </c>
      <c r="G60" s="27" t="inlineStr">
        <is>
          <t>Drop-off</t>
        </is>
      </c>
      <c r="H60" s="27" t="inlineStr">
        <is>
          <t>No</t>
        </is>
      </c>
      <c r="I60" s="27" t="inlineStr">
        <is>
          <t>No</t>
        </is>
      </c>
      <c r="J60" s="27" t="inlineStr">
        <is>
          <t>Pan, carne molida, papa, huevo</t>
        </is>
      </c>
      <c r="K60" s="27" t="inlineStr">
        <is>
          <t>Local bakery; Makro</t>
        </is>
      </c>
      <c r="L60" s="28" t="n">
        <v>5.5</v>
      </c>
      <c r="M60" s="29" t="n">
        <v>20</v>
      </c>
      <c r="N60" s="30">
        <f>IFERROR(L60/M60,"")</f>
        <v/>
      </c>
      <c r="O60" s="31" t="inlineStr">
        <is>
          <t>No - estimate</t>
        </is>
      </c>
      <c r="P60" s="31">
        <f>IF(N60="","",IF(N60&gt;0.32,"Reprice or resource",IF(N60&lt;0.2,"Check cost is realistic","OK")))</f>
        <v/>
      </c>
    </row>
    <row r="61" ht="15" customHeight="1" s="19">
      <c r="A61" s="27" t="n">
        <v>60</v>
      </c>
      <c r="B61" s="27" t="inlineStr">
        <is>
          <t>Butteries (Aberdeen rowies)</t>
        </is>
      </c>
      <c r="C61" s="27" t="inlineStr">
        <is>
          <t>Buttery / rowie</t>
        </is>
      </c>
      <c r="D61" s="27" t="inlineStr">
        <is>
          <t>Scottish</t>
        </is>
      </c>
      <c r="E61" s="27" t="inlineStr">
        <is>
          <t>Breakfast</t>
        </is>
      </c>
      <c r="F61" s="27" t="inlineStr">
        <is>
          <t>Laminated, salty, nothing like it in Lima. Sell alongside lucuma marmalade.</t>
        </is>
      </c>
      <c r="G61" s="27" t="inlineStr">
        <is>
          <t>Drop-off</t>
        </is>
      </c>
      <c r="H61" s="27" t="inlineStr">
        <is>
          <t>No</t>
        </is>
      </c>
      <c r="I61" s="27" t="inlineStr">
        <is>
          <t>Yes</t>
        </is>
      </c>
      <c r="J61" s="27" t="inlineStr">
        <is>
          <t>Harina, manteca, mantequilla</t>
        </is>
      </c>
      <c r="K61" s="27" t="inlineStr">
        <is>
          <t>Makro</t>
        </is>
      </c>
      <c r="L61" s="28" t="n">
        <v>1.8</v>
      </c>
      <c r="M61" s="29" t="n">
        <v>8</v>
      </c>
      <c r="N61" s="30">
        <f>IFERROR(L61/M61,"")</f>
        <v/>
      </c>
      <c r="O61" s="31" t="inlineStr">
        <is>
          <t>No - estimate</t>
        </is>
      </c>
      <c r="P61" s="31">
        <f>IF(N61="","",IF(N61&gt;0.32,"Reprice or resource",IF(N61&lt;0.2,"Check cost is realistic","OK")))</f>
        <v/>
      </c>
    </row>
    <row r="62" ht="23.85" customHeight="1" s="19">
      <c r="A62" s="27" t="n">
        <v>61</v>
      </c>
      <c r="B62" s="27" t="inlineStr">
        <is>
          <t>Porridge with Kiwicha</t>
        </is>
      </c>
      <c r="C62" s="27" t="inlineStr">
        <is>
          <t>Scottish porridge</t>
        </is>
      </c>
      <c r="D62" s="27" t="inlineStr">
        <is>
          <t>Scottish</t>
        </is>
      </c>
      <c r="E62" s="27" t="inlineStr">
        <is>
          <t>Breakfast</t>
        </is>
      </c>
      <c r="F62" s="27" t="inlineStr">
        <is>
          <t>Steel-cut oats blended with kiwicha, topped with local berries and algarrobina.</t>
        </is>
      </c>
      <c r="G62" s="27" t="inlineStr">
        <is>
          <t>Drop-off</t>
        </is>
      </c>
      <c r="H62" s="27" t="inlineStr">
        <is>
          <t>No</t>
        </is>
      </c>
      <c r="I62" s="27" t="inlineStr">
        <is>
          <t>Yes</t>
        </is>
      </c>
      <c r="J62" s="27" t="inlineStr">
        <is>
          <t>Avena, kiwicha, aguaymanto</t>
        </is>
      </c>
      <c r="K62" s="27" t="inlineStr">
        <is>
          <t>Makro; Surquillo N.1</t>
        </is>
      </c>
      <c r="L62" s="28" t="n">
        <v>3.2</v>
      </c>
      <c r="M62" s="29" t="n">
        <v>13</v>
      </c>
      <c r="N62" s="30">
        <f>IFERROR(L62/M62,"")</f>
        <v/>
      </c>
      <c r="O62" s="31" t="inlineStr">
        <is>
          <t>No - estimate</t>
        </is>
      </c>
      <c r="P62" s="31">
        <f>IF(N62="","",IF(N62&gt;0.32,"Reprice or resource",IF(N62&lt;0.2,"Check cost is realistic","OK")))</f>
        <v/>
      </c>
    </row>
    <row r="63" ht="15" customHeight="1" s="19">
      <c r="A63" s="27" t="n">
        <v>62</v>
      </c>
      <c r="B63" s="27" t="inlineStr">
        <is>
          <t>Lucuma Drop Scones</t>
        </is>
      </c>
      <c r="C63" s="27" t="inlineStr">
        <is>
          <t>Drop scone / Scotch pancake</t>
        </is>
      </c>
      <c r="D63" s="27" t="inlineStr">
        <is>
          <t>Scottish</t>
        </is>
      </c>
      <c r="E63" s="27" t="inlineStr">
        <is>
          <t>Breakfast</t>
        </is>
      </c>
      <c r="F63" s="27" t="inlineStr">
        <is>
          <t>Griddle pancakes with lucuma in the batter and manjar blanco to serve.</t>
        </is>
      </c>
      <c r="G63" s="27" t="inlineStr">
        <is>
          <t>Drop-off</t>
        </is>
      </c>
      <c r="H63" s="27" t="inlineStr">
        <is>
          <t>No</t>
        </is>
      </c>
      <c r="I63" s="27" t="inlineStr">
        <is>
          <t>Yes</t>
        </is>
      </c>
      <c r="J63" s="27" t="inlineStr">
        <is>
          <t>Lucuma, harina, huevo</t>
        </is>
      </c>
      <c r="K63" s="27" t="inlineStr">
        <is>
          <t>Surquillo N.1; Makro</t>
        </is>
      </c>
      <c r="L63" s="28" t="n">
        <v>2.4</v>
      </c>
      <c r="M63" s="29" t="n">
        <v>10</v>
      </c>
      <c r="N63" s="30">
        <f>IFERROR(L63/M63,"")</f>
        <v/>
      </c>
      <c r="O63" s="31" t="inlineStr">
        <is>
          <t>No - estimate</t>
        </is>
      </c>
      <c r="P63" s="31">
        <f>IF(N63="","",IF(N63&gt;0.32,"Reprice or resource",IF(N63&lt;0.2,"Check cost is realistic","OK")))</f>
        <v/>
      </c>
    </row>
    <row r="64" ht="15" customHeight="1" s="19">
      <c r="A64" s="27" t="n">
        <v>63</v>
      </c>
      <c r="B64" s="27" t="inlineStr">
        <is>
          <t>Bacon Butty, Salsa Criolla</t>
        </is>
      </c>
      <c r="C64" s="27" t="inlineStr">
        <is>
          <t>Bacon butty</t>
        </is>
      </c>
      <c r="D64" s="27" t="inlineStr">
        <is>
          <t>Scottish</t>
        </is>
      </c>
      <c r="E64" s="27" t="inlineStr">
        <is>
          <t>Breakfast</t>
        </is>
      </c>
      <c r="F64" s="27" t="inlineStr">
        <is>
          <t>Buttered roll, bacon, and salsa criolla instead of ketchup.</t>
        </is>
      </c>
      <c r="G64" s="27" t="inlineStr">
        <is>
          <t>Drop-off</t>
        </is>
      </c>
      <c r="H64" s="27" t="inlineStr">
        <is>
          <t>No</t>
        </is>
      </c>
      <c r="I64" s="27" t="inlineStr">
        <is>
          <t>No</t>
        </is>
      </c>
      <c r="J64" s="27" t="inlineStr">
        <is>
          <t>Tocino, pan, cebolla, limon</t>
        </is>
      </c>
      <c r="K64" s="27" t="inlineStr">
        <is>
          <t>Local bakery; Makro</t>
        </is>
      </c>
      <c r="L64" s="28" t="n">
        <v>4.8</v>
      </c>
      <c r="M64" s="29" t="n">
        <v>17</v>
      </c>
      <c r="N64" s="30">
        <f>IFERROR(L64/M64,"")</f>
        <v/>
      </c>
      <c r="O64" s="31" t="inlineStr">
        <is>
          <t>No - estimate</t>
        </is>
      </c>
      <c r="P64" s="31">
        <f>IF(N64="","",IF(N64&gt;0.32,"Reprice or resource",IF(N64&lt;0.2,"Check cost is realistic","OK")))</f>
        <v/>
      </c>
    </row>
    <row r="65" ht="15" customHeight="1" s="19">
      <c r="A65" s="27" t="n">
        <v>64</v>
      </c>
      <c r="B65" s="27" t="inlineStr">
        <is>
          <t>Tattie Scone Benedict</t>
        </is>
      </c>
      <c r="C65" s="27" t="inlineStr">
        <is>
          <t>Eggs Benedict on tattie scone</t>
        </is>
      </c>
      <c r="D65" s="27" t="inlineStr">
        <is>
          <t>Scottish</t>
        </is>
      </c>
      <c r="E65" s="27" t="inlineStr">
        <is>
          <t>Breakfast</t>
        </is>
      </c>
      <c r="F65" s="27" t="inlineStr">
        <is>
          <t>Potato scone base, poached egg, aji amarillo hollandaise, black pudding.</t>
        </is>
      </c>
      <c r="G65" s="27" t="inlineStr">
        <is>
          <t>Live station</t>
        </is>
      </c>
      <c r="H65" s="27" t="inlineStr">
        <is>
          <t>No</t>
        </is>
      </c>
      <c r="I65" s="27" t="inlineStr">
        <is>
          <t>No</t>
        </is>
      </c>
      <c r="J65" s="27" t="inlineStr">
        <is>
          <t>Papa amarilla, huevo, aji amarillo</t>
        </is>
      </c>
      <c r="K65" s="27" t="inlineStr">
        <is>
          <t>Surquillo N.1</t>
        </is>
      </c>
      <c r="L65" s="28" t="n">
        <v>5.5</v>
      </c>
      <c r="M65" s="29" t="n">
        <v>20</v>
      </c>
      <c r="N65" s="30">
        <f>IFERROR(L65/M65,"")</f>
        <v/>
      </c>
      <c r="O65" s="31" t="inlineStr">
        <is>
          <t>No - estimate</t>
        </is>
      </c>
      <c r="P65" s="31">
        <f>IF(N65="","",IF(N65&gt;0.32,"Reprice or resource",IF(N65&lt;0.2,"Check cost is realistic","OK")))</f>
        <v/>
      </c>
    </row>
    <row r="66" ht="23.85" customHeight="1" s="19">
      <c r="A66" s="27" t="n">
        <v>65</v>
      </c>
      <c r="B66" s="27" t="inlineStr">
        <is>
          <t>Lucuma-Dundee Marmalade &amp; Brioche</t>
        </is>
      </c>
      <c r="C66" s="27" t="inlineStr">
        <is>
          <t>Dundee marmalade</t>
        </is>
      </c>
      <c r="D66" s="27" t="inlineStr">
        <is>
          <t>Scottish</t>
        </is>
      </c>
      <c r="E66" s="27" t="inlineStr">
        <is>
          <t>Breakfast</t>
        </is>
      </c>
      <c r="F66" s="27" t="inlineStr">
        <is>
          <t>Dundee's thick-cut bitter marmalade method applied to lucuma and Peruvian orange.</t>
        </is>
      </c>
      <c r="G66" s="27" t="inlineStr">
        <is>
          <t>Drop-off</t>
        </is>
      </c>
      <c r="H66" s="27" t="inlineStr">
        <is>
          <t>No</t>
        </is>
      </c>
      <c r="I66" s="27" t="inlineStr">
        <is>
          <t>Yes</t>
        </is>
      </c>
      <c r="J66" s="27" t="inlineStr">
        <is>
          <t>Lucuma, naranja agria, azucar</t>
        </is>
      </c>
      <c r="K66" s="27" t="inlineStr">
        <is>
          <t>Surquillo N.1</t>
        </is>
      </c>
      <c r="L66" s="28" t="n">
        <v>2.6</v>
      </c>
      <c r="M66" s="29" t="n">
        <v>11</v>
      </c>
      <c r="N66" s="30">
        <f>IFERROR(L66/M66,"")</f>
        <v/>
      </c>
      <c r="O66" s="31" t="inlineStr">
        <is>
          <t>No - estimate</t>
        </is>
      </c>
      <c r="P66" s="31">
        <f>IF(N66="","",IF(N66&gt;0.32,"Reprice or resource",IF(N66&lt;0.2,"Check cost is realistic","OK")))</f>
        <v/>
      </c>
    </row>
    <row r="67" ht="15" customHeight="1" s="19">
      <c r="A67" s="27" t="n">
        <v>66</v>
      </c>
      <c r="B67" s="27" t="inlineStr">
        <is>
          <t>Camote Crumpets</t>
        </is>
      </c>
      <c r="C67" s="27" t="inlineStr">
        <is>
          <t>Crumpets</t>
        </is>
      </c>
      <c r="D67" s="27" t="inlineStr">
        <is>
          <t>English</t>
        </is>
      </c>
      <c r="E67" s="27" t="inlineStr">
        <is>
          <t>Breakfast</t>
        </is>
      </c>
      <c r="F67" s="27" t="inlineStr">
        <is>
          <t>Crumpet batter enriched with sweet potato puree; salted butter to serve.</t>
        </is>
      </c>
      <c r="G67" s="27" t="inlineStr">
        <is>
          <t>Drop-off</t>
        </is>
      </c>
      <c r="H67" s="27" t="inlineStr">
        <is>
          <t>No</t>
        </is>
      </c>
      <c r="I67" s="27" t="inlineStr">
        <is>
          <t>Yes</t>
        </is>
      </c>
      <c r="J67" s="27" t="inlineStr">
        <is>
          <t>Camote, harina, levadura</t>
        </is>
      </c>
      <c r="K67" s="27" t="inlineStr">
        <is>
          <t>Surquillo N.1; Makro</t>
        </is>
      </c>
      <c r="L67" s="28" t="n">
        <v>1.8</v>
      </c>
      <c r="M67" s="29" t="n">
        <v>8</v>
      </c>
      <c r="N67" s="30">
        <f>IFERROR(L67/M67,"")</f>
        <v/>
      </c>
      <c r="O67" s="31" t="inlineStr">
        <is>
          <t>No - estimate</t>
        </is>
      </c>
      <c r="P67" s="31">
        <f>IF(N67="","",IF(N67&gt;0.32,"Reprice or resource",IF(N67&lt;0.2,"Check cost is realistic","OK")))</f>
        <v/>
      </c>
    </row>
    <row r="68" ht="23.85" customHeight="1" s="19">
      <c r="A68" s="27" t="n">
        <v>67</v>
      </c>
      <c r="B68" s="27" t="inlineStr">
        <is>
          <t>Black Pudding Hash</t>
        </is>
      </c>
      <c r="C68" s="27" t="inlineStr">
        <is>
          <t>Black pudding hash</t>
        </is>
      </c>
      <c r="D68" s="27" t="inlineStr">
        <is>
          <t>Scottish</t>
        </is>
      </c>
      <c r="E68" s="27" t="inlineStr">
        <is>
          <t>Breakfast</t>
        </is>
      </c>
      <c r="F68" s="27" t="inlineStr">
        <is>
          <t>Native potato hash with morcilla and a soft egg. Holds better than a full fry-up.</t>
        </is>
      </c>
      <c r="G68" s="27" t="inlineStr">
        <is>
          <t>Buffet</t>
        </is>
      </c>
      <c r="H68" s="27" t="inlineStr">
        <is>
          <t>No</t>
        </is>
      </c>
      <c r="I68" s="27" t="inlineStr">
        <is>
          <t>No</t>
        </is>
      </c>
      <c r="J68" s="27" t="inlineStr">
        <is>
          <t>Papa nativa, morcilla, huevo</t>
        </is>
      </c>
      <c r="K68" s="27" t="inlineStr">
        <is>
          <t>Surquillo N.1</t>
        </is>
      </c>
      <c r="L68" s="28" t="n">
        <v>5</v>
      </c>
      <c r="M68" s="29" t="n">
        <v>18</v>
      </c>
      <c r="N68" s="30">
        <f>IFERROR(L68/M68,"")</f>
        <v/>
      </c>
      <c r="O68" s="31" t="inlineStr">
        <is>
          <t>No - estimate</t>
        </is>
      </c>
      <c r="P68" s="31">
        <f>IF(N68="","",IF(N68&gt;0.32,"Reprice or resource",IF(N68&lt;0.2,"Check cost is realistic","OK")))</f>
        <v/>
      </c>
    </row>
    <row r="69" ht="15" customHeight="1" s="19">
      <c r="A69" s="27" t="n">
        <v>68</v>
      </c>
      <c r="B69" s="27" t="inlineStr">
        <is>
          <t>The Edinburgh Bowl</t>
        </is>
      </c>
      <c r="C69" s="27" t="inlineStr">
        <is>
          <t>Smoked fish salad</t>
        </is>
      </c>
      <c r="D69" s="27" t="inlineStr">
        <is>
          <t>Scottish</t>
        </is>
      </c>
      <c r="E69" s="27" t="inlineStr">
        <is>
          <t>Bowl</t>
        </is>
      </c>
      <c r="F69" s="27" t="inlineStr">
        <is>
          <t>Smoked trout, roasted native potato, watercress, aji limo vinaigrette.</t>
        </is>
      </c>
      <c r="G69" s="27" t="inlineStr">
        <is>
          <t>Drop-off</t>
        </is>
      </c>
      <c r="H69" s="27" t="inlineStr">
        <is>
          <t>No</t>
        </is>
      </c>
      <c r="I69" s="27" t="inlineStr">
        <is>
          <t>No</t>
        </is>
      </c>
      <c r="J69" s="27" t="inlineStr">
        <is>
          <t>Trucha, papa nativa, berros, aji limo</t>
        </is>
      </c>
      <c r="K69" s="27" t="inlineStr">
        <is>
          <t>Terminal Pesquero VMT; Surquillo N.1</t>
        </is>
      </c>
      <c r="L69" s="28" t="n">
        <v>14</v>
      </c>
      <c r="M69" s="29" t="n">
        <v>46</v>
      </c>
      <c r="N69" s="30">
        <f>IFERROR(L69/M69,"")</f>
        <v/>
      </c>
      <c r="O69" s="31" t="inlineStr">
        <is>
          <t>No - estimate</t>
        </is>
      </c>
      <c r="P69" s="31">
        <f>IF(N69="","",IF(N69&gt;0.32,"Reprice or resource",IF(N69&lt;0.2,"Check cost is realistic","OK")))</f>
        <v/>
      </c>
    </row>
    <row r="70" ht="15" customHeight="1" s="19">
      <c r="A70" s="27" t="n">
        <v>69</v>
      </c>
      <c r="B70" s="27" t="inlineStr">
        <is>
          <t>Lomo Saltado Oat Bowl</t>
        </is>
      </c>
      <c r="C70" s="27" t="inlineStr">
        <is>
          <t>Stovies / hash</t>
        </is>
      </c>
      <c r="D70" s="27" t="inlineStr">
        <is>
          <t>Scottish</t>
        </is>
      </c>
      <c r="E70" s="27" t="inlineStr">
        <is>
          <t>Bowl</t>
        </is>
      </c>
      <c r="F70" s="27" t="inlineStr">
        <is>
          <t>Lomo saltado over toasted highland oats instead of rice, with hand-cut chips.</t>
        </is>
      </c>
      <c r="G70" s="27" t="inlineStr">
        <is>
          <t>Drop-off</t>
        </is>
      </c>
      <c r="H70" s="27" t="inlineStr">
        <is>
          <t>No</t>
        </is>
      </c>
      <c r="I70" s="27" t="inlineStr">
        <is>
          <t>No</t>
        </is>
      </c>
      <c r="J70" s="27" t="inlineStr">
        <is>
          <t>Lomo, avena, papa, sillao</t>
        </is>
      </c>
      <c r="K70" s="27" t="inlineStr">
        <is>
          <t>Oregon Foods; Makro</t>
        </is>
      </c>
      <c r="L70" s="28" t="n">
        <v>12</v>
      </c>
      <c r="M70" s="29" t="n">
        <v>42</v>
      </c>
      <c r="N70" s="30">
        <f>IFERROR(L70/M70,"")</f>
        <v/>
      </c>
      <c r="O70" s="31" t="inlineStr">
        <is>
          <t>No - estimate</t>
        </is>
      </c>
      <c r="P70" s="31">
        <f>IF(N70="","",IF(N70&gt;0.32,"Reprice or resource",IF(N70&lt;0.2,"Check cost is realistic","OK")))</f>
        <v/>
      </c>
    </row>
    <row r="71" ht="15" customHeight="1" s="19">
      <c r="A71" s="27" t="n">
        <v>70</v>
      </c>
      <c r="B71" s="27" t="inlineStr">
        <is>
          <t>Coronation Chicken Quinoa</t>
        </is>
      </c>
      <c r="C71" s="27" t="inlineStr">
        <is>
          <t>Coronation chicken</t>
        </is>
      </c>
      <c r="D71" s="27" t="inlineStr">
        <is>
          <t>English</t>
        </is>
      </c>
      <c r="E71" s="27" t="inlineStr">
        <is>
          <t>Bowl</t>
        </is>
      </c>
      <c r="F71" s="27" t="inlineStr">
        <is>
          <t>Curried mayo chicken over chilled tricolour quinoa.</t>
        </is>
      </c>
      <c r="G71" s="27" t="inlineStr">
        <is>
          <t>Drop-off</t>
        </is>
      </c>
      <c r="H71" s="27" t="inlineStr">
        <is>
          <t>No</t>
        </is>
      </c>
      <c r="I71" s="27" t="inlineStr">
        <is>
          <t>No</t>
        </is>
      </c>
      <c r="J71" s="27" t="inlineStr">
        <is>
          <t>Pollo, quinua, curry, pasas</t>
        </is>
      </c>
      <c r="K71" s="27" t="inlineStr">
        <is>
          <t>Makro</t>
        </is>
      </c>
      <c r="L71" s="28" t="n">
        <v>8</v>
      </c>
      <c r="M71" s="29" t="n">
        <v>32</v>
      </c>
      <c r="N71" s="30">
        <f>IFERROR(L71/M71,"")</f>
        <v/>
      </c>
      <c r="O71" s="31" t="inlineStr">
        <is>
          <t>No - estimate</t>
        </is>
      </c>
      <c r="P71" s="31">
        <f>IF(N71="","",IF(N71&gt;0.32,"Reprice or resource",IF(N71&lt;0.2,"Check cost is realistic","OK")))</f>
        <v/>
      </c>
    </row>
    <row r="72" ht="15" customHeight="1" s="19">
      <c r="A72" s="27" t="n">
        <v>71</v>
      </c>
      <c r="B72" s="27" t="inlineStr">
        <is>
          <t>Ploughman's Box</t>
        </is>
      </c>
      <c r="C72" s="27" t="inlineStr">
        <is>
          <t>Ploughman's lunch</t>
        </is>
      </c>
      <c r="D72" s="27" t="inlineStr">
        <is>
          <t>English</t>
        </is>
      </c>
      <c r="E72" s="27" t="inlineStr">
        <is>
          <t>Bowl</t>
        </is>
      </c>
      <c r="F72" s="27" t="inlineStr">
        <is>
          <t>Mature cheddar, local ham, sourdough, aguaymanto chutney, oatcakes.</t>
        </is>
      </c>
      <c r="G72" s="27" t="inlineStr">
        <is>
          <t>Drop-off</t>
        </is>
      </c>
      <c r="H72" s="27" t="inlineStr">
        <is>
          <t>No</t>
        </is>
      </c>
      <c r="I72" s="27" t="inlineStr">
        <is>
          <t>No</t>
        </is>
      </c>
      <c r="J72" s="27" t="inlineStr">
        <is>
          <t>Queso, jamon, pan, aguaymanto</t>
        </is>
      </c>
      <c r="K72" s="27" t="inlineStr">
        <is>
          <t>Importer; local bakery</t>
        </is>
      </c>
      <c r="L72" s="28" t="n">
        <v>11</v>
      </c>
      <c r="M72" s="29" t="n">
        <v>38</v>
      </c>
      <c r="N72" s="30">
        <f>IFERROR(L72/M72,"")</f>
        <v/>
      </c>
      <c r="O72" s="31" t="inlineStr">
        <is>
          <t>No - estimate</t>
        </is>
      </c>
      <c r="P72" s="31">
        <f>IF(N72="","",IF(N72&gt;0.32,"Reprice or resource",IF(N72&lt;0.2,"Check cost is realistic","OK")))</f>
        <v/>
      </c>
    </row>
    <row r="73" ht="15" customHeight="1" s="19">
      <c r="A73" s="27" t="n">
        <v>72</v>
      </c>
      <c r="B73" s="27" t="inlineStr">
        <is>
          <t>Cullen Skink Bowl</t>
        </is>
      </c>
      <c r="C73" s="27" t="inlineStr">
        <is>
          <t>Cullen skink</t>
        </is>
      </c>
      <c r="D73" s="27" t="inlineStr">
        <is>
          <t>Scottish</t>
        </is>
      </c>
      <c r="E73" s="27" t="inlineStr">
        <is>
          <t>Bowl</t>
        </is>
      </c>
      <c r="F73" s="27" t="inlineStr">
        <is>
          <t>Thermos-served chowder with an oatcake pack. Winter corporate staple.</t>
        </is>
      </c>
      <c r="G73" s="27" t="inlineStr">
        <is>
          <t>Drop-off</t>
        </is>
      </c>
      <c r="H73" s="27" t="inlineStr">
        <is>
          <t>No</t>
        </is>
      </c>
      <c r="I73" s="27" t="inlineStr">
        <is>
          <t>No</t>
        </is>
      </c>
      <c r="J73" s="27" t="inlineStr">
        <is>
          <t>Paiche/trucha ahumada, papa</t>
        </is>
      </c>
      <c r="K73" s="27" t="inlineStr">
        <is>
          <t>Terminal Pesquero VMT</t>
        </is>
      </c>
      <c r="L73" s="28" t="n">
        <v>10</v>
      </c>
      <c r="M73" s="29" t="n">
        <v>34</v>
      </c>
      <c r="N73" s="30">
        <f>IFERROR(L73/M73,"")</f>
        <v/>
      </c>
      <c r="O73" s="31" t="inlineStr">
        <is>
          <t>No - estimate</t>
        </is>
      </c>
      <c r="P73" s="31">
        <f>IF(N73="","",IF(N73&gt;0.32,"Reprice or resource",IF(N73&lt;0.2,"Check cost is realistic","OK")))</f>
        <v/>
      </c>
    </row>
    <row r="74" ht="23.85" customHeight="1" s="19">
      <c r="A74" s="27" t="n">
        <v>73</v>
      </c>
      <c r="B74" s="27" t="inlineStr">
        <is>
          <t>Greek Mezze Box</t>
        </is>
      </c>
      <c r="C74" s="27" t="inlineStr">
        <is>
          <t>Mezze</t>
        </is>
      </c>
      <c r="D74" s="27" t="inlineStr">
        <is>
          <t>Greek</t>
        </is>
      </c>
      <c r="E74" s="27" t="inlineStr">
        <is>
          <t>Bowl</t>
        </is>
      </c>
      <c r="F74" s="27" t="inlineStr">
        <is>
          <t>Mezze is piqueo. Keftedes, spanakopita, tzatziki with rocoto, Tacna olives, pita.</t>
        </is>
      </c>
      <c r="G74" s="27" t="inlineStr">
        <is>
          <t>Drop-off</t>
        </is>
      </c>
      <c r="H74" s="27" t="inlineStr">
        <is>
          <t>No</t>
        </is>
      </c>
      <c r="I74" s="27" t="inlineStr">
        <is>
          <t>No</t>
        </is>
      </c>
      <c r="J74" s="27" t="inlineStr">
        <is>
          <t>Cordero, queso paria, aceitunas, rocoto</t>
        </is>
      </c>
      <c r="K74" s="27" t="inlineStr">
        <is>
          <t>Surquillo N.1; importer</t>
        </is>
      </c>
      <c r="L74" s="28" t="n">
        <v>11</v>
      </c>
      <c r="M74" s="29" t="n">
        <v>38</v>
      </c>
      <c r="N74" s="30">
        <f>IFERROR(L74/M74,"")</f>
        <v/>
      </c>
      <c r="O74" s="31" t="inlineStr">
        <is>
          <t>No - estimate</t>
        </is>
      </c>
      <c r="P74" s="31">
        <f>IF(N74="","",IF(N74&gt;0.32,"Reprice or resource",IF(N74&lt;0.2,"Check cost is realistic","OK")))</f>
        <v/>
      </c>
    </row>
    <row r="75" ht="23.85" customHeight="1" s="19">
      <c r="A75" s="27" t="n">
        <v>74</v>
      </c>
      <c r="B75" s="27" t="inlineStr">
        <is>
          <t>Nordic Cure Box</t>
        </is>
      </c>
      <c r="C75" s="27" t="inlineStr">
        <is>
          <t>Smorrebrod platter</t>
        </is>
      </c>
      <c r="D75" s="27" t="inlineStr">
        <is>
          <t>Nordic</t>
        </is>
      </c>
      <c r="E75" s="27" t="inlineStr">
        <is>
          <t>Bowl</t>
        </is>
      </c>
      <c r="F75" s="27" t="inlineStr">
        <is>
          <t>Cured trout, pickles, rye, mustard-algarrobina. Entirely cold, zero service risk.</t>
        </is>
      </c>
      <c r="G75" s="27" t="inlineStr">
        <is>
          <t>Drop-off</t>
        </is>
      </c>
      <c r="H75" s="27" t="inlineStr">
        <is>
          <t>No</t>
        </is>
      </c>
      <c r="I75" s="27" t="inlineStr">
        <is>
          <t>No</t>
        </is>
      </c>
      <c r="J75" s="27" t="inlineStr">
        <is>
          <t>Trucha, centeno, algarrobina</t>
        </is>
      </c>
      <c r="K75" s="27" t="inlineStr">
        <is>
          <t>Terminal Pesquero VMT; Makro</t>
        </is>
      </c>
      <c r="L75" s="28" t="n">
        <v>12</v>
      </c>
      <c r="M75" s="29" t="n">
        <v>40</v>
      </c>
      <c r="N75" s="30">
        <f>IFERROR(L75/M75,"")</f>
        <v/>
      </c>
      <c r="O75" s="31" t="inlineStr">
        <is>
          <t>No - estimate</t>
        </is>
      </c>
      <c r="P75" s="31">
        <f>IF(N75="","",IF(N75&gt;0.32,"Reprice or resource",IF(N75&lt;0.2,"Check cost is realistic","OK")))</f>
        <v/>
      </c>
    </row>
    <row r="76" ht="23.85" customHeight="1" s="19">
      <c r="A76" s="27" t="n">
        <v>75</v>
      </c>
      <c r="B76" s="27" t="inlineStr">
        <is>
          <t>Pollo a la Brasa Pie</t>
        </is>
      </c>
      <c r="C76" s="27" t="inlineStr">
        <is>
          <t>British individual pie</t>
        </is>
      </c>
      <c r="D76" s="27" t="inlineStr">
        <is>
          <t>English</t>
        </is>
      </c>
      <c r="E76" s="27" t="inlineStr">
        <is>
          <t>Bowl</t>
        </is>
      </c>
      <c r="F76" s="27" t="inlineStr">
        <is>
          <t>Rotisserie chicken flavours baked into a shortcrust pie with aji verde on the side.</t>
        </is>
      </c>
      <c r="G76" s="27" t="inlineStr">
        <is>
          <t>Drop-off</t>
        </is>
      </c>
      <c r="H76" s="27" t="inlineStr">
        <is>
          <t>No</t>
        </is>
      </c>
      <c r="I76" s="27" t="inlineStr">
        <is>
          <t>No</t>
        </is>
      </c>
      <c r="J76" s="27" t="inlineStr">
        <is>
          <t>Pollo, huacatay, aji amarillo</t>
        </is>
      </c>
      <c r="K76" s="27" t="inlineStr">
        <is>
          <t>Makro; Surquillo N.1</t>
        </is>
      </c>
      <c r="L76" s="28" t="n">
        <v>6</v>
      </c>
      <c r="M76" s="29" t="n">
        <v>26</v>
      </c>
      <c r="N76" s="30">
        <f>IFERROR(L76/M76,"")</f>
        <v/>
      </c>
      <c r="O76" s="31" t="inlineStr">
        <is>
          <t>No - estimate</t>
        </is>
      </c>
      <c r="P76" s="31">
        <f>IF(N76="","",IF(N76&gt;0.32,"Reprice or resource",IF(N76&lt;0.2,"Check cost is realistic","OK")))</f>
        <v/>
      </c>
    </row>
    <row r="77" ht="23.85" customHeight="1" s="19">
      <c r="A77" s="27" t="n">
        <v>76</v>
      </c>
      <c r="B77" s="27" t="inlineStr">
        <is>
          <t>Petticoat Tails, Cacao Nib</t>
        </is>
      </c>
      <c r="C77" s="27" t="inlineStr">
        <is>
          <t>Petticoat tails</t>
        </is>
      </c>
      <c r="D77" s="27" t="inlineStr">
        <is>
          <t>Scottish</t>
        </is>
      </c>
      <c r="E77" s="27" t="inlineStr">
        <is>
          <t>Bakery</t>
        </is>
      </c>
      <c r="F77" s="27" t="inlineStr">
        <is>
          <t>The wedge-cut shortbread, studded with Peruvian cacao nibs. Gift-box ready.</t>
        </is>
      </c>
      <c r="G77" s="27" t="inlineStr">
        <is>
          <t>Drop-off</t>
        </is>
      </c>
      <c r="H77" s="27" t="inlineStr">
        <is>
          <t>No</t>
        </is>
      </c>
      <c r="I77" s="27" t="inlineStr">
        <is>
          <t>Yes</t>
        </is>
      </c>
      <c r="J77" s="27" t="inlineStr">
        <is>
          <t>Mantequilla, harina, nibs de cacao</t>
        </is>
      </c>
      <c r="K77" s="27" t="inlineStr">
        <is>
          <t>Makro; local cacao distributor</t>
        </is>
      </c>
      <c r="L77" s="28" t="n">
        <v>1.8</v>
      </c>
      <c r="M77" s="29" t="n">
        <v>8</v>
      </c>
      <c r="N77" s="30">
        <f>IFERROR(L77/M77,"")</f>
        <v/>
      </c>
      <c r="O77" s="31" t="inlineStr">
        <is>
          <t>No - estimate</t>
        </is>
      </c>
      <c r="P77" s="31">
        <f>IF(N77="","",IF(N77&gt;0.32,"Reprice or resource",IF(N77&lt;0.2,"Check cost is realistic","OK")))</f>
        <v/>
      </c>
    </row>
    <row r="78" ht="23.85" customHeight="1" s="19">
      <c r="A78" s="27" t="n">
        <v>77</v>
      </c>
      <c r="B78" s="27" t="inlineStr">
        <is>
          <t>Lucuma Millionaire's Shortbread</t>
        </is>
      </c>
      <c r="C78" s="27" t="inlineStr">
        <is>
          <t>Millionaire's shortbread</t>
        </is>
      </c>
      <c r="D78" s="27" t="inlineStr">
        <is>
          <t>Scottish</t>
        </is>
      </c>
      <c r="E78" s="27" t="inlineStr">
        <is>
          <t>Bakery</t>
        </is>
      </c>
      <c r="F78" s="27" t="inlineStr">
        <is>
          <t>Shortbread base, lucuma manjar blanco caramel, 70% Peruvian dark chocolate top.</t>
        </is>
      </c>
      <c r="G78" s="27" t="inlineStr">
        <is>
          <t>Drop-off</t>
        </is>
      </c>
      <c r="H78" s="27" t="inlineStr">
        <is>
          <t>No</t>
        </is>
      </c>
      <c r="I78" s="27" t="inlineStr">
        <is>
          <t>Yes</t>
        </is>
      </c>
      <c r="J78" s="27" t="inlineStr">
        <is>
          <t>Lucuma, manjar blanco, cacao 70%</t>
        </is>
      </c>
      <c r="K78" s="27" t="inlineStr">
        <is>
          <t>Surquillo N.1; cacao distributor</t>
        </is>
      </c>
      <c r="L78" s="28" t="n">
        <v>2.6</v>
      </c>
      <c r="M78" s="29" t="n">
        <v>10</v>
      </c>
      <c r="N78" s="30">
        <f>IFERROR(L78/M78,"")</f>
        <v/>
      </c>
      <c r="O78" s="31" t="inlineStr">
        <is>
          <t>No - estimate</t>
        </is>
      </c>
      <c r="P78" s="31">
        <f>IF(N78="","",IF(N78&gt;0.32,"Reprice or resource",IF(N78&lt;0.2,"Check cost is realistic","OK")))</f>
        <v/>
      </c>
    </row>
    <row r="79" ht="15" customHeight="1" s="19">
      <c r="A79" s="27" t="n">
        <v>78</v>
      </c>
      <c r="B79" s="27" t="inlineStr">
        <is>
          <t>Whisky &amp; Maca Alfajores</t>
        </is>
      </c>
      <c r="C79" s="27" t="inlineStr">
        <is>
          <t>Shortbread sandwich biscuit</t>
        </is>
      </c>
      <c r="D79" s="27" t="inlineStr">
        <is>
          <t>Scottish</t>
        </is>
      </c>
      <c r="E79" s="27" t="inlineStr">
        <is>
          <t>Bakery</t>
        </is>
      </c>
      <c r="F79" s="27" t="inlineStr">
        <is>
          <t>Maca-spiked shortbread around single-malt manjar blanco.</t>
        </is>
      </c>
      <c r="G79" s="27" t="inlineStr">
        <is>
          <t>Drop-off</t>
        </is>
      </c>
      <c r="H79" s="27" t="inlineStr">
        <is>
          <t>Yes</t>
        </is>
      </c>
      <c r="I79" s="27" t="inlineStr">
        <is>
          <t>Yes</t>
        </is>
      </c>
      <c r="J79" s="27" t="inlineStr">
        <is>
          <t>Maca, manjar blanco, harina</t>
        </is>
      </c>
      <c r="K79" s="27" t="inlineStr">
        <is>
          <t>Surquillo N.1; Makro</t>
        </is>
      </c>
      <c r="L79" s="28" t="n">
        <v>2</v>
      </c>
      <c r="M79" s="29" t="n">
        <v>8</v>
      </c>
      <c r="N79" s="30">
        <f>IFERROR(L79/M79,"")</f>
        <v/>
      </c>
      <c r="O79" s="31" t="inlineStr">
        <is>
          <t>No - estimate</t>
        </is>
      </c>
      <c r="P79" s="31">
        <f>IF(N79="","",IF(N79&gt;0.32,"Reprice or resource",IF(N79&lt;0.2,"Check cost is realistic","OK")))</f>
        <v/>
      </c>
    </row>
    <row r="80" ht="35.05" customHeight="1" s="19">
      <c r="A80" s="27" t="n">
        <v>79</v>
      </c>
      <c r="B80" s="27" t="inlineStr">
        <is>
          <t>Scottish Macaroon (Papa Amarilla)</t>
        </is>
      </c>
      <c r="C80" s="27" t="inlineStr">
        <is>
          <t>Scottish macaroon</t>
        </is>
      </c>
      <c r="D80" s="27" t="inlineStr">
        <is>
          <t>Scottish</t>
        </is>
      </c>
      <c r="E80" s="27" t="inlineStr">
        <is>
          <t>Bakery</t>
        </is>
      </c>
      <c r="F80" s="27" t="inlineStr">
        <is>
          <t>The flagship. A Scottish sweet whose secret ingredient is mashed potato, made in the country that domesticated it - native potato fondant, Peruvian cacao, coconut.</t>
        </is>
      </c>
      <c r="G80" s="27" t="inlineStr">
        <is>
          <t>Drop-off</t>
        </is>
      </c>
      <c r="H80" s="27" t="inlineStr">
        <is>
          <t>No</t>
        </is>
      </c>
      <c r="I80" s="27" t="inlineStr">
        <is>
          <t>Yes</t>
        </is>
      </c>
      <c r="J80" s="27" t="inlineStr">
        <is>
          <t>Papa amarilla, azucar impalpable, cacao, coco</t>
        </is>
      </c>
      <c r="K80" s="27" t="inlineStr">
        <is>
          <t>Surquillo N.1; cacao distributor</t>
        </is>
      </c>
      <c r="L80" s="28" t="n">
        <v>1.6</v>
      </c>
      <c r="M80" s="29" t="n">
        <v>9</v>
      </c>
      <c r="N80" s="30">
        <f>IFERROR(L80/M80,"")</f>
        <v/>
      </c>
      <c r="O80" s="31" t="inlineStr">
        <is>
          <t>No - estimate</t>
        </is>
      </c>
      <c r="P80" s="31">
        <f>IF(N80="","",IF(N80&gt;0.32,"Reprice or resource",IF(N80&lt;0.2,"Check cost is realistic","OK")))</f>
        <v/>
      </c>
    </row>
    <row r="81" ht="23.85" customHeight="1" s="19">
      <c r="A81" s="27" t="n">
        <v>80</v>
      </c>
      <c r="B81" s="27" t="inlineStr">
        <is>
          <t>Lucuma Tablet</t>
        </is>
      </c>
      <c r="C81" s="27" t="inlineStr">
        <is>
          <t>Tablet</t>
        </is>
      </c>
      <c r="D81" s="27" t="inlineStr">
        <is>
          <t>Scottish</t>
        </is>
      </c>
      <c r="E81" s="27" t="inlineStr">
        <is>
          <t>Bakery</t>
        </is>
      </c>
      <c r="F81" s="27" t="inlineStr">
        <is>
          <t>Crumbly Scottish fudge with lucuma pulp folded through. Shelf-stable, ships anywhere.</t>
        </is>
      </c>
      <c r="G81" s="27" t="inlineStr">
        <is>
          <t>Drop-off</t>
        </is>
      </c>
      <c r="H81" s="27" t="inlineStr">
        <is>
          <t>No</t>
        </is>
      </c>
      <c r="I81" s="27" t="inlineStr">
        <is>
          <t>Yes</t>
        </is>
      </c>
      <c r="J81" s="27" t="inlineStr">
        <is>
          <t>Azucar, leche condensada, lucuma</t>
        </is>
      </c>
      <c r="K81" s="27" t="inlineStr">
        <is>
          <t>Makro; Surquillo N.1</t>
        </is>
      </c>
      <c r="L81" s="28" t="n">
        <v>1.4</v>
      </c>
      <c r="M81" s="29" t="n">
        <v>7</v>
      </c>
      <c r="N81" s="30">
        <f>IFERROR(L81/M81,"")</f>
        <v/>
      </c>
      <c r="O81" s="31" t="inlineStr">
        <is>
          <t>No - estimate</t>
        </is>
      </c>
      <c r="P81" s="31">
        <f>IF(N81="","",IF(N81&gt;0.32,"Reprice or resource",IF(N81&lt;0.2,"Check cost is realistic","OK")))</f>
        <v/>
      </c>
    </row>
    <row r="82" ht="23.85" customHeight="1" s="19">
      <c r="A82" s="27" t="n">
        <v>81</v>
      </c>
      <c r="B82" s="27" t="inlineStr">
        <is>
          <t>Cacao &amp; Sea Salt Tablet</t>
        </is>
      </c>
      <c r="C82" s="27" t="inlineStr">
        <is>
          <t>Tablet</t>
        </is>
      </c>
      <c r="D82" s="27" t="inlineStr">
        <is>
          <t>Scottish</t>
        </is>
      </c>
      <c r="E82" s="27" t="inlineStr">
        <is>
          <t>Bakery</t>
        </is>
      </c>
      <c r="F82" s="27" t="inlineStr">
        <is>
          <t>Same base, Peruvian cacao and Maras salt. Two SKUs from one technique.</t>
        </is>
      </c>
      <c r="G82" s="27" t="inlineStr">
        <is>
          <t>Drop-off</t>
        </is>
      </c>
      <c r="H82" s="27" t="inlineStr">
        <is>
          <t>No</t>
        </is>
      </c>
      <c r="I82" s="27" t="inlineStr">
        <is>
          <t>Yes</t>
        </is>
      </c>
      <c r="J82" s="27" t="inlineStr">
        <is>
          <t>Azucar, leche condensada, cacao, sal de Maras</t>
        </is>
      </c>
      <c r="K82" s="27" t="inlineStr">
        <is>
          <t>Makro; cacao distributor</t>
        </is>
      </c>
      <c r="L82" s="28" t="n">
        <v>1.6</v>
      </c>
      <c r="M82" s="29" t="n">
        <v>7</v>
      </c>
      <c r="N82" s="30">
        <f>IFERROR(L82/M82,"")</f>
        <v/>
      </c>
      <c r="O82" s="31" t="inlineStr">
        <is>
          <t>No - estimate</t>
        </is>
      </c>
      <c r="P82" s="31">
        <f>IF(N82="","",IF(N82&gt;0.32,"Reprice or resource",IF(N82&lt;0.2,"Check cost is realistic","OK")))</f>
        <v/>
      </c>
    </row>
    <row r="83" ht="23.85" customHeight="1" s="19">
      <c r="A83" s="27" t="n">
        <v>82</v>
      </c>
      <c r="B83" s="27" t="inlineStr">
        <is>
          <t>Maracuya Empire Biscuits</t>
        </is>
      </c>
      <c r="C83" s="27" t="inlineStr">
        <is>
          <t>Empire biscuit</t>
        </is>
      </c>
      <c r="D83" s="27" t="inlineStr">
        <is>
          <t>Scottish</t>
        </is>
      </c>
      <c r="E83" s="27" t="inlineStr">
        <is>
          <t>Bakery</t>
        </is>
      </c>
      <c r="F83" s="27" t="inlineStr">
        <is>
          <t>Shortbread sandwich with maracuya jam and glace icing. Origin contested - tag honestly.</t>
        </is>
      </c>
      <c r="G83" s="27" t="inlineStr">
        <is>
          <t>Drop-off</t>
        </is>
      </c>
      <c r="H83" s="27" t="inlineStr">
        <is>
          <t>No</t>
        </is>
      </c>
      <c r="I83" s="27" t="inlineStr">
        <is>
          <t>Yes</t>
        </is>
      </c>
      <c r="J83" s="27" t="inlineStr">
        <is>
          <t>Maracuya, harina, mantequilla</t>
        </is>
      </c>
      <c r="K83" s="27" t="inlineStr">
        <is>
          <t>Surquillo N.1; Makro</t>
        </is>
      </c>
      <c r="L83" s="28" t="n">
        <v>1.8</v>
      </c>
      <c r="M83" s="29" t="n">
        <v>8</v>
      </c>
      <c r="N83" s="30">
        <f>IFERROR(L83/M83,"")</f>
        <v/>
      </c>
      <c r="O83" s="31" t="inlineStr">
        <is>
          <t>No - estimate</t>
        </is>
      </c>
      <c r="P83" s="31">
        <f>IF(N83="","",IF(N83&gt;0.32,"Reprice or resource",IF(N83&lt;0.2,"Check cost is realistic","OK")))</f>
        <v/>
      </c>
    </row>
    <row r="84" ht="23.85" customHeight="1" s="19">
      <c r="A84" s="27" t="n">
        <v>83</v>
      </c>
      <c r="B84" s="27" t="inlineStr">
        <is>
          <t>Dundee Cake, Pecan &amp; Aguaymanto</t>
        </is>
      </c>
      <c r="C84" s="27" t="inlineStr">
        <is>
          <t>Dundee cake</t>
        </is>
      </c>
      <c r="D84" s="27" t="inlineStr">
        <is>
          <t>Scottish</t>
        </is>
      </c>
      <c r="E84" s="27" t="inlineStr">
        <is>
          <t>Bakery</t>
        </is>
      </c>
      <c r="F84" s="27" t="inlineStr">
        <is>
          <t>Almonds become pecans, candied peel becomes candied aguaymanto, whisky optional.</t>
        </is>
      </c>
      <c r="G84" s="27" t="inlineStr">
        <is>
          <t>Drop-off</t>
        </is>
      </c>
      <c r="H84" s="27" t="inlineStr">
        <is>
          <t>Yes</t>
        </is>
      </c>
      <c r="I84" s="27" t="inlineStr">
        <is>
          <t>Yes</t>
        </is>
      </c>
      <c r="J84" s="27" t="inlineStr">
        <is>
          <t>Pecanas, aguaymanto, pasas</t>
        </is>
      </c>
      <c r="K84" s="27" t="inlineStr">
        <is>
          <t>Surquillo N.1</t>
        </is>
      </c>
      <c r="L84" s="28" t="n">
        <v>3.6</v>
      </c>
      <c r="M84" s="29" t="n">
        <v>14</v>
      </c>
      <c r="N84" s="30">
        <f>IFERROR(L84/M84,"")</f>
        <v/>
      </c>
      <c r="O84" s="31" t="inlineStr">
        <is>
          <t>No - estimate</t>
        </is>
      </c>
      <c r="P84" s="31">
        <f>IF(N84="","",IF(N84&gt;0.32,"Reprice or resource",IF(N84&lt;0.2,"Check cost is realistic","OK")))</f>
        <v/>
      </c>
    </row>
    <row r="85" ht="15" customHeight="1" s="19">
      <c r="A85" s="27" t="n">
        <v>84</v>
      </c>
      <c r="B85" s="27" t="inlineStr">
        <is>
          <t>Ecclefechan Tart, Chancaca</t>
        </is>
      </c>
      <c r="C85" s="27" t="inlineStr">
        <is>
          <t>Ecclefechan tart</t>
        </is>
      </c>
      <c r="D85" s="27" t="inlineStr">
        <is>
          <t>Scottish</t>
        </is>
      </c>
      <c r="E85" s="27" t="inlineStr">
        <is>
          <t>Bakery</t>
        </is>
      </c>
      <c r="F85" s="27" t="inlineStr">
        <is>
          <t>Dried fruit and butter tart with chancaca replacing golden syrup.</t>
        </is>
      </c>
      <c r="G85" s="27" t="inlineStr">
        <is>
          <t>Drop-off</t>
        </is>
      </c>
      <c r="H85" s="27" t="inlineStr">
        <is>
          <t>No</t>
        </is>
      </c>
      <c r="I85" s="27" t="inlineStr">
        <is>
          <t>Yes</t>
        </is>
      </c>
      <c r="J85" s="27" t="inlineStr">
        <is>
          <t>Chancaca, pasas, mantequilla</t>
        </is>
      </c>
      <c r="K85" s="27" t="inlineStr">
        <is>
          <t>Surquillo N.1</t>
        </is>
      </c>
      <c r="L85" s="28" t="n">
        <v>2.4</v>
      </c>
      <c r="M85" s="29" t="n">
        <v>10</v>
      </c>
      <c r="N85" s="30">
        <f>IFERROR(L85/M85,"")</f>
        <v/>
      </c>
      <c r="O85" s="31" t="inlineStr">
        <is>
          <t>No - estimate</t>
        </is>
      </c>
      <c r="P85" s="31">
        <f>IF(N85="","",IF(N85&gt;0.32,"Reprice or resource",IF(N85&lt;0.2,"Check cost is realistic","OK")))</f>
        <v/>
      </c>
    </row>
    <row r="86" ht="15" customHeight="1" s="19">
      <c r="A86" s="27" t="n">
        <v>85</v>
      </c>
      <c r="B86" s="27" t="inlineStr">
        <is>
          <t>Border Tart</t>
        </is>
      </c>
      <c r="C86" s="27" t="inlineStr">
        <is>
          <t>Border tart</t>
        </is>
      </c>
      <c r="D86" s="27" t="inlineStr">
        <is>
          <t>Scottish</t>
        </is>
      </c>
      <c r="E86" s="27" t="inlineStr">
        <is>
          <t>Bakery</t>
        </is>
      </c>
      <c r="F86" s="27" t="inlineStr">
        <is>
          <t>Almond and dried fruit tart; pecan and higo swap, lemon glaze.</t>
        </is>
      </c>
      <c r="G86" s="27" t="inlineStr">
        <is>
          <t>Drop-off</t>
        </is>
      </c>
      <c r="H86" s="27" t="inlineStr">
        <is>
          <t>No</t>
        </is>
      </c>
      <c r="I86" s="27" t="inlineStr">
        <is>
          <t>Yes</t>
        </is>
      </c>
      <c r="J86" s="27" t="inlineStr">
        <is>
          <t>Pecanas, higos, limon</t>
        </is>
      </c>
      <c r="K86" s="27" t="inlineStr">
        <is>
          <t>Surquillo N.1</t>
        </is>
      </c>
      <c r="L86" s="28" t="n">
        <v>2.6</v>
      </c>
      <c r="M86" s="29" t="n">
        <v>10</v>
      </c>
      <c r="N86" s="30">
        <f>IFERROR(L86/M86,"")</f>
        <v/>
      </c>
      <c r="O86" s="31" t="inlineStr">
        <is>
          <t>No - estimate</t>
        </is>
      </c>
      <c r="P86" s="31">
        <f>IF(N86="","",IF(N86&gt;0.32,"Reprice or resource",IF(N86&lt;0.2,"Check cost is realistic","OK")))</f>
        <v/>
      </c>
    </row>
    <row r="87" ht="23.85" customHeight="1" s="19">
      <c r="A87" s="27" t="n">
        <v>86</v>
      </c>
      <c r="B87" s="27" t="inlineStr">
        <is>
          <t>Black Bun</t>
        </is>
      </c>
      <c r="C87" s="27" t="inlineStr">
        <is>
          <t>Black bun</t>
        </is>
      </c>
      <c r="D87" s="27" t="inlineStr">
        <is>
          <t>Scottish</t>
        </is>
      </c>
      <c r="E87" s="27" t="inlineStr">
        <is>
          <t>Bakery</t>
        </is>
      </c>
      <c r="F87" s="27" t="inlineStr">
        <is>
          <t>Pastry-wrapped fruitcake for Hogmanay. A dated, bookable product, not a menu item.</t>
        </is>
      </c>
      <c r="G87" s="27" t="inlineStr">
        <is>
          <t>Drop-off</t>
        </is>
      </c>
      <c r="H87" s="27" t="inlineStr">
        <is>
          <t>Yes</t>
        </is>
      </c>
      <c r="I87" s="27" t="inlineStr">
        <is>
          <t>Yes</t>
        </is>
      </c>
      <c r="J87" s="27" t="inlineStr">
        <is>
          <t>Pasas, especias, harina, pisco/whisky</t>
        </is>
      </c>
      <c r="K87" s="27" t="inlineStr">
        <is>
          <t>Makro; Surquillo N.1</t>
        </is>
      </c>
      <c r="L87" s="28" t="n">
        <v>4</v>
      </c>
      <c r="M87" s="29" t="n">
        <v>16</v>
      </c>
      <c r="N87" s="30">
        <f>IFERROR(L87/M87,"")</f>
        <v/>
      </c>
      <c r="O87" s="31" t="inlineStr">
        <is>
          <t>No - estimate</t>
        </is>
      </c>
      <c r="P87" s="31">
        <f>IF(N87="","",IF(N87&gt;0.32,"Reprice or resource",IF(N87&lt;0.2,"Check cost is realistic","OK")))</f>
        <v/>
      </c>
    </row>
    <row r="88" ht="23.85" customHeight="1" s="19">
      <c r="A88" s="27" t="n">
        <v>87</v>
      </c>
      <c r="B88" s="27" t="inlineStr">
        <is>
          <t>Clootie Dumpling</t>
        </is>
      </c>
      <c r="C88" s="27" t="inlineStr">
        <is>
          <t>Clootie dumpling</t>
        </is>
      </c>
      <c r="D88" s="27" t="inlineStr">
        <is>
          <t>Scottish</t>
        </is>
      </c>
      <c r="E88" s="27" t="inlineStr">
        <is>
          <t>Dessert</t>
        </is>
      </c>
      <c r="F88" s="27" t="inlineStr">
        <is>
          <t>Steamed spiced fruit pudding - reads Peruvian-adjacent because it is steamed. Serve with algarrobina custard.</t>
        </is>
      </c>
      <c r="G88" s="27" t="inlineStr">
        <is>
          <t>Buffet</t>
        </is>
      </c>
      <c r="H88" s="27" t="inlineStr">
        <is>
          <t>No</t>
        </is>
      </c>
      <c r="I88" s="27" t="inlineStr">
        <is>
          <t>Yes</t>
        </is>
      </c>
      <c r="J88" s="27" t="inlineStr">
        <is>
          <t>Pasas, avena, especias, algarrobina</t>
        </is>
      </c>
      <c r="K88" s="27" t="inlineStr">
        <is>
          <t>Makro; Surquillo N.1</t>
        </is>
      </c>
      <c r="L88" s="28" t="n">
        <v>3.4</v>
      </c>
      <c r="M88" s="29" t="n">
        <v>14</v>
      </c>
      <c r="N88" s="30">
        <f>IFERROR(L88/M88,"")</f>
        <v/>
      </c>
      <c r="O88" s="31" t="inlineStr">
        <is>
          <t>No - estimate</t>
        </is>
      </c>
      <c r="P88" s="31">
        <f>IF(N88="","",IF(N88&gt;0.32,"Reprice or resource",IF(N88&lt;0.2,"Check cost is realistic","OK")))</f>
        <v/>
      </c>
    </row>
    <row r="89" ht="15" customHeight="1" s="19">
      <c r="A89" s="27" t="n">
        <v>88</v>
      </c>
      <c r="B89" s="27" t="inlineStr">
        <is>
          <t>Fly Cemetery Slice</t>
        </is>
      </c>
      <c r="C89" s="27" t="inlineStr">
        <is>
          <t>Fly cemetery / fruit slice</t>
        </is>
      </c>
      <c r="D89" s="27" t="inlineStr">
        <is>
          <t>Scottish</t>
        </is>
      </c>
      <c r="E89" s="27" t="inlineStr">
        <is>
          <t>Bakery</t>
        </is>
      </c>
      <c r="F89" s="27" t="inlineStr">
        <is>
          <t>Shortcrust sandwich of currants and raisins; a splash of whisky in the filling.</t>
        </is>
      </c>
      <c r="G89" s="27" t="inlineStr">
        <is>
          <t>Drop-off</t>
        </is>
      </c>
      <c r="H89" s="27" t="inlineStr">
        <is>
          <t>Yes</t>
        </is>
      </c>
      <c r="I89" s="27" t="inlineStr">
        <is>
          <t>Yes</t>
        </is>
      </c>
      <c r="J89" s="27" t="inlineStr">
        <is>
          <t>Pasas, harina, mantequilla</t>
        </is>
      </c>
      <c r="K89" s="27" t="inlineStr">
        <is>
          <t>Makro</t>
        </is>
      </c>
      <c r="L89" s="28" t="n">
        <v>1.8</v>
      </c>
      <c r="M89" s="29" t="n">
        <v>8</v>
      </c>
      <c r="N89" s="30">
        <f>IFERROR(L89/M89,"")</f>
        <v/>
      </c>
      <c r="O89" s="31" t="inlineStr">
        <is>
          <t>No - estimate</t>
        </is>
      </c>
      <c r="P89" s="31">
        <f>IF(N89="","",IF(N89&gt;0.32,"Reprice or resource",IF(N89&lt;0.2,"Check cost is realistic","OK")))</f>
        <v/>
      </c>
    </row>
    <row r="90" ht="15" customHeight="1" s="19">
      <c r="A90" s="27" t="n">
        <v>89</v>
      </c>
      <c r="B90" s="27" t="inlineStr">
        <is>
          <t>Selkirk Bannock</t>
        </is>
      </c>
      <c r="C90" s="27" t="inlineStr">
        <is>
          <t>Selkirk bannock</t>
        </is>
      </c>
      <c r="D90" s="27" t="inlineStr">
        <is>
          <t>Scottish</t>
        </is>
      </c>
      <c r="E90" s="27" t="inlineStr">
        <is>
          <t>Bakery</t>
        </is>
      </c>
      <c r="F90" s="27" t="inlineStr">
        <is>
          <t>Enriched fruited bread; sultanas plus candied lucuma.</t>
        </is>
      </c>
      <c r="G90" s="27" t="inlineStr">
        <is>
          <t>Drop-off</t>
        </is>
      </c>
      <c r="H90" s="27" t="inlineStr">
        <is>
          <t>No</t>
        </is>
      </c>
      <c r="I90" s="27" t="inlineStr">
        <is>
          <t>Yes</t>
        </is>
      </c>
      <c r="J90" s="27" t="inlineStr">
        <is>
          <t>Pasas, lucuma, harina</t>
        </is>
      </c>
      <c r="K90" s="27" t="inlineStr">
        <is>
          <t>Makro; Surquillo N.1</t>
        </is>
      </c>
      <c r="L90" s="28" t="n">
        <v>2.2</v>
      </c>
      <c r="M90" s="29" t="n">
        <v>9</v>
      </c>
      <c r="N90" s="30">
        <f>IFERROR(L90/M90,"")</f>
        <v/>
      </c>
      <c r="O90" s="31" t="inlineStr">
        <is>
          <t>No - estimate</t>
        </is>
      </c>
      <c r="P90" s="31">
        <f>IF(N90="","",IF(N90&gt;0.32,"Reprice or resource",IF(N90&lt;0.2,"Check cost is realistic","OK")))</f>
        <v/>
      </c>
    </row>
    <row r="91" ht="15" customHeight="1" s="19">
      <c r="A91" s="27" t="n">
        <v>90</v>
      </c>
      <c r="B91" s="27" t="inlineStr">
        <is>
          <t>Sultana Tea Loaf</t>
        </is>
      </c>
      <c r="C91" s="27" t="inlineStr">
        <is>
          <t>Sultana loaf cake</t>
        </is>
      </c>
      <c r="D91" s="27" t="inlineStr">
        <is>
          <t>Scottish</t>
        </is>
      </c>
      <c r="E91" s="27" t="inlineStr">
        <is>
          <t>Bakery</t>
        </is>
      </c>
      <c r="F91" s="27" t="inlineStr">
        <is>
          <t>Simple tea loaf soaked in black tea and pisco. Afternoon-tea backbone.</t>
        </is>
      </c>
      <c r="G91" s="27" t="inlineStr">
        <is>
          <t>Drop-off</t>
        </is>
      </c>
      <c r="H91" s="27" t="inlineStr">
        <is>
          <t>Yes</t>
        </is>
      </c>
      <c r="I91" s="27" t="inlineStr">
        <is>
          <t>Yes</t>
        </is>
      </c>
      <c r="J91" s="27" t="inlineStr">
        <is>
          <t>Pasas, te, pisco</t>
        </is>
      </c>
      <c r="K91" s="27" t="inlineStr">
        <is>
          <t>Makro</t>
        </is>
      </c>
      <c r="L91" s="28" t="n">
        <v>2</v>
      </c>
      <c r="M91" s="29" t="n">
        <v>9</v>
      </c>
      <c r="N91" s="30">
        <f>IFERROR(L91/M91,"")</f>
        <v/>
      </c>
      <c r="O91" s="31" t="inlineStr">
        <is>
          <t>No - estimate</t>
        </is>
      </c>
      <c r="P91" s="31">
        <f>IF(N91="","",IF(N91&gt;0.32,"Reprice or resource",IF(N91&lt;0.2,"Check cost is realistic","OK")))</f>
        <v/>
      </c>
    </row>
    <row r="92" ht="15" customHeight="1" s="19">
      <c r="A92" s="27" t="n">
        <v>91</v>
      </c>
      <c r="B92" s="27" t="inlineStr">
        <is>
          <t>Quinoa &amp; Cacao Flapjacks</t>
        </is>
      </c>
      <c r="C92" s="27" t="inlineStr">
        <is>
          <t>Flapjack</t>
        </is>
      </c>
      <c r="D92" s="27" t="inlineStr">
        <is>
          <t>Scottish</t>
        </is>
      </c>
      <c r="E92" s="27" t="inlineStr">
        <is>
          <t>Bakery</t>
        </is>
      </c>
      <c r="F92" s="27" t="inlineStr">
        <is>
          <t>Oat and quinoa flapjack bound with chancaca, dark chocolate base.</t>
        </is>
      </c>
      <c r="G92" s="27" t="inlineStr">
        <is>
          <t>Drop-off</t>
        </is>
      </c>
      <c r="H92" s="27" t="inlineStr">
        <is>
          <t>No</t>
        </is>
      </c>
      <c r="I92" s="27" t="inlineStr">
        <is>
          <t>Yes</t>
        </is>
      </c>
      <c r="J92" s="27" t="inlineStr">
        <is>
          <t>Avena, quinua, chancaca, cacao</t>
        </is>
      </c>
      <c r="K92" s="27" t="inlineStr">
        <is>
          <t>Makro; cacao distributor</t>
        </is>
      </c>
      <c r="L92" s="28" t="n">
        <v>1.8</v>
      </c>
      <c r="M92" s="29" t="n">
        <v>8</v>
      </c>
      <c r="N92" s="30">
        <f>IFERROR(L92/M92,"")</f>
        <v/>
      </c>
      <c r="O92" s="31" t="inlineStr">
        <is>
          <t>No - estimate</t>
        </is>
      </c>
      <c r="P92" s="31">
        <f>IF(N92="","",IF(N92&gt;0.32,"Reprice or resource",IF(N92&lt;0.2,"Check cost is realistic","OK")))</f>
        <v/>
      </c>
    </row>
    <row r="93" ht="23.85" customHeight="1" s="19">
      <c r="A93" s="27" t="n">
        <v>92</v>
      </c>
      <c r="B93" s="27" t="inlineStr">
        <is>
          <t>Chirimoya Cranachan Cups</t>
        </is>
      </c>
      <c r="C93" s="27" t="inlineStr">
        <is>
          <t>Cranachan</t>
        </is>
      </c>
      <c r="D93" s="27" t="inlineStr">
        <is>
          <t>Scottish</t>
        </is>
      </c>
      <c r="E93" s="27" t="inlineStr">
        <is>
          <t>Dessert</t>
        </is>
      </c>
      <c r="F93" s="27" t="inlineStr">
        <is>
          <t>Toasted oats, pisco-or-whisky cream, chirimoya puree, algarrobina instead of honey.</t>
        </is>
      </c>
      <c r="G93" s="27" t="inlineStr">
        <is>
          <t>Drop-off</t>
        </is>
      </c>
      <c r="H93" s="27" t="inlineStr">
        <is>
          <t>Yes</t>
        </is>
      </c>
      <c r="I93" s="27" t="inlineStr">
        <is>
          <t>Yes</t>
        </is>
      </c>
      <c r="J93" s="27" t="inlineStr">
        <is>
          <t>Chirimoya, avena, algarrobina, crema</t>
        </is>
      </c>
      <c r="K93" s="27" t="inlineStr">
        <is>
          <t>Surquillo N.1</t>
        </is>
      </c>
      <c r="L93" s="28" t="n">
        <v>4.2</v>
      </c>
      <c r="M93" s="29" t="n">
        <v>15</v>
      </c>
      <c r="N93" s="30">
        <f>IFERROR(L93/M93,"")</f>
        <v/>
      </c>
      <c r="O93" s="31" t="inlineStr">
        <is>
          <t>No - estimate</t>
        </is>
      </c>
      <c r="P93" s="31">
        <f>IF(N93="","",IF(N93&gt;0.32,"Reprice or resource",IF(N93&lt;0.2,"Check cost is realistic","OK")))</f>
        <v/>
      </c>
    </row>
    <row r="94" ht="23.85" customHeight="1" s="19">
      <c r="A94" s="27" t="n">
        <v>93</v>
      </c>
      <c r="B94" s="27" t="inlineStr">
        <is>
          <t>Tipsy Laird</t>
        </is>
      </c>
      <c r="C94" s="27" t="inlineStr">
        <is>
          <t>Tipsy laird (whisky trifle)</t>
        </is>
      </c>
      <c r="D94" s="27" t="inlineStr">
        <is>
          <t>Scottish</t>
        </is>
      </c>
      <c r="E94" s="27" t="inlineStr">
        <is>
          <t>Dessert</t>
        </is>
      </c>
      <c r="F94" s="27" t="inlineStr">
        <is>
          <t>Whisky where the English trifle uses sherry. No-bake, assembles ahead, scales to any headcount - your best catering dessert.</t>
        </is>
      </c>
      <c r="G94" s="27" t="inlineStr">
        <is>
          <t>Buffet</t>
        </is>
      </c>
      <c r="H94" s="27" t="inlineStr">
        <is>
          <t>Yes</t>
        </is>
      </c>
      <c r="I94" s="27" t="inlineStr">
        <is>
          <t>Yes</t>
        </is>
      </c>
      <c r="J94" s="27" t="inlineStr">
        <is>
          <t>Bizcocho, berries, crema, whisky</t>
        </is>
      </c>
      <c r="K94" s="27" t="inlineStr">
        <is>
          <t>Makro; Surquillo N.1</t>
        </is>
      </c>
      <c r="L94" s="28" t="n">
        <v>5</v>
      </c>
      <c r="M94" s="29" t="n">
        <v>18</v>
      </c>
      <c r="N94" s="30">
        <f>IFERROR(L94/M94,"")</f>
        <v/>
      </c>
      <c r="O94" s="31" t="inlineStr">
        <is>
          <t>No - estimate</t>
        </is>
      </c>
      <c r="P94" s="31">
        <f>IF(N94="","",IF(N94&gt;0.32,"Reprice or resource",IF(N94&lt;0.2,"Check cost is realistic","OK")))</f>
        <v/>
      </c>
    </row>
    <row r="95" ht="23.85" customHeight="1" s="19">
      <c r="A95" s="27" t="n">
        <v>94</v>
      </c>
      <c r="B95" s="27" t="inlineStr">
        <is>
          <t>Caledonian Cream</t>
        </is>
      </c>
      <c r="C95" s="27" t="inlineStr">
        <is>
          <t>Caledonian cream</t>
        </is>
      </c>
      <c r="D95" s="27" t="inlineStr">
        <is>
          <t>Scottish</t>
        </is>
      </c>
      <c r="E95" s="27" t="inlineStr">
        <is>
          <t>Dessert</t>
        </is>
      </c>
      <c r="F95" s="27" t="inlineStr">
        <is>
          <t>Whipped cream, whisky, marmalade and citrus zest - here with the lucuma-Dundee marmalade.</t>
        </is>
      </c>
      <c r="G95" s="27" t="inlineStr">
        <is>
          <t>Drop-off</t>
        </is>
      </c>
      <c r="H95" s="27" t="inlineStr">
        <is>
          <t>Yes</t>
        </is>
      </c>
      <c r="I95" s="27" t="inlineStr">
        <is>
          <t>Yes</t>
        </is>
      </c>
      <c r="J95" s="27" t="inlineStr">
        <is>
          <t>Crema, lucuma, naranja, whisky</t>
        </is>
      </c>
      <c r="K95" s="27" t="inlineStr">
        <is>
          <t>Vivanda; Surquillo N.1</t>
        </is>
      </c>
      <c r="L95" s="28" t="n">
        <v>4</v>
      </c>
      <c r="M95" s="29" t="n">
        <v>15</v>
      </c>
      <c r="N95" s="30">
        <f>IFERROR(L95/M95,"")</f>
        <v/>
      </c>
      <c r="O95" s="31" t="inlineStr">
        <is>
          <t>No - estimate</t>
        </is>
      </c>
      <c r="P95" s="31">
        <f>IF(N95="","",IF(N95&gt;0.32,"Reprice or resource",IF(N95&lt;0.2,"Check cost is realistic","OK")))</f>
        <v/>
      </c>
    </row>
    <row r="96" ht="23.85" customHeight="1" s="19">
      <c r="A96" s="27" t="n">
        <v>95</v>
      </c>
      <c r="B96" s="27" t="inlineStr">
        <is>
          <t>Chancaca Sticky Toffee</t>
        </is>
      </c>
      <c r="C96" s="27" t="inlineStr">
        <is>
          <t>Sticky toffee pudding</t>
        </is>
      </c>
      <c r="D96" s="27" t="inlineStr">
        <is>
          <t>Disputed (Lake District / Scotland)</t>
        </is>
      </c>
      <c r="E96" s="27" t="inlineStr">
        <is>
          <t>Dessert</t>
        </is>
      </c>
      <c r="F96" s="27" t="inlineStr">
        <is>
          <t>Date sponge with chancaca toffee. Flag the contested origin on the dish card.</t>
        </is>
      </c>
      <c r="G96" s="27" t="inlineStr">
        <is>
          <t>Buffet</t>
        </is>
      </c>
      <c r="H96" s="27" t="inlineStr">
        <is>
          <t>No</t>
        </is>
      </c>
      <c r="I96" s="27" t="inlineStr">
        <is>
          <t>Yes</t>
        </is>
      </c>
      <c r="J96" s="27" t="inlineStr">
        <is>
          <t>Datiles, chancaca, crema</t>
        </is>
      </c>
      <c r="K96" s="27" t="inlineStr">
        <is>
          <t>Surquillo N.1</t>
        </is>
      </c>
      <c r="L96" s="28" t="n">
        <v>3.6</v>
      </c>
      <c r="M96" s="29" t="n">
        <v>14</v>
      </c>
      <c r="N96" s="30">
        <f>IFERROR(L96/M96,"")</f>
        <v/>
      </c>
      <c r="O96" s="31" t="inlineStr">
        <is>
          <t>No - estimate</t>
        </is>
      </c>
      <c r="P96" s="31">
        <f>IF(N96="","",IF(N96&gt;0.32,"Reprice or resource",IF(N96&lt;0.2,"Check cost is realistic","OK")))</f>
        <v/>
      </c>
    </row>
    <row r="97" ht="23.85" customHeight="1" s="19">
      <c r="A97" s="27" t="n">
        <v>96</v>
      </c>
      <c r="B97" s="27" t="inlineStr">
        <is>
          <t>The Fresa Teacake</t>
        </is>
      </c>
      <c r="C97" s="27" t="inlineStr">
        <is>
          <t>Tunnock's-style teacake</t>
        </is>
      </c>
      <c r="D97" s="27" t="inlineStr">
        <is>
          <t>Scottish</t>
        </is>
      </c>
      <c r="E97" s="27" t="inlineStr">
        <is>
          <t>Bakery</t>
        </is>
      </c>
      <c r="F97" s="27" t="inlineStr">
        <is>
          <t>Wholewheat shortbread dome, freeze-dried strawberry mallow, 70% Peruvian chocolate.</t>
        </is>
      </c>
      <c r="G97" s="27" t="inlineStr">
        <is>
          <t>Drop-off</t>
        </is>
      </c>
      <c r="H97" s="27" t="inlineStr">
        <is>
          <t>No</t>
        </is>
      </c>
      <c r="I97" s="27" t="inlineStr">
        <is>
          <t>Yes</t>
        </is>
      </c>
      <c r="J97" s="27" t="inlineStr">
        <is>
          <t>Fresa, cacao 70%, harina integral</t>
        </is>
      </c>
      <c r="K97" s="27" t="inlineStr">
        <is>
          <t>Surquillo N.1; cacao distributor</t>
        </is>
      </c>
      <c r="L97" s="28" t="n">
        <v>3</v>
      </c>
      <c r="M97" s="29" t="n">
        <v>12</v>
      </c>
      <c r="N97" s="30">
        <f>IFERROR(L97/M97,"")</f>
        <v/>
      </c>
      <c r="O97" s="31" t="inlineStr">
        <is>
          <t>No - estimate</t>
        </is>
      </c>
      <c r="P97" s="31">
        <f>IF(N97="","",IF(N97&gt;0.32,"Reprice or resource",IF(N97&lt;0.2,"Check cost is realistic","OK")))</f>
        <v/>
      </c>
    </row>
    <row r="98" ht="15" customHeight="1" s="19">
      <c r="A98" s="27" t="n">
        <v>97</v>
      </c>
      <c r="B98" s="27" t="inlineStr">
        <is>
          <t>Choclo &amp; Paria Scones</t>
        </is>
      </c>
      <c r="C98" s="27" t="inlineStr">
        <is>
          <t>Cheese scone</t>
        </is>
      </c>
      <c r="D98" s="27" t="inlineStr">
        <is>
          <t>Scottish</t>
        </is>
      </c>
      <c r="E98" s="27" t="inlineStr">
        <is>
          <t>Bakery</t>
        </is>
      </c>
      <c r="F98" s="27" t="inlineStr">
        <is>
          <t>Savoury scone with giant Andean corn and queso paria.</t>
        </is>
      </c>
      <c r="G98" s="27" t="inlineStr">
        <is>
          <t>Drop-off</t>
        </is>
      </c>
      <c r="H98" s="27" t="inlineStr">
        <is>
          <t>No</t>
        </is>
      </c>
      <c r="I98" s="27" t="inlineStr">
        <is>
          <t>Yes</t>
        </is>
      </c>
      <c r="J98" s="27" t="inlineStr">
        <is>
          <t>Choclo, queso paria, harina</t>
        </is>
      </c>
      <c r="K98" s="27" t="inlineStr">
        <is>
          <t>Surquillo N.1</t>
        </is>
      </c>
      <c r="L98" s="28" t="n">
        <v>2.2</v>
      </c>
      <c r="M98" s="29" t="n">
        <v>9</v>
      </c>
      <c r="N98" s="30">
        <f>IFERROR(L98/M98,"")</f>
        <v/>
      </c>
      <c r="O98" s="31" t="inlineStr">
        <is>
          <t>No - estimate</t>
        </is>
      </c>
      <c r="P98" s="31">
        <f>IF(N98="","",IF(N98&gt;0.32,"Reprice or resource",IF(N98&lt;0.2,"Check cost is realistic","OK")))</f>
        <v/>
      </c>
    </row>
    <row r="99" ht="15" customHeight="1" s="19">
      <c r="A99" s="27" t="n">
        <v>98</v>
      </c>
      <c r="B99" s="27" t="inlineStr">
        <is>
          <t>Loukoumades, Algarrobina</t>
        </is>
      </c>
      <c r="C99" s="27" t="inlineStr">
        <is>
          <t>Loukoumades</t>
        </is>
      </c>
      <c r="D99" s="27" t="inlineStr">
        <is>
          <t>Greek</t>
        </is>
      </c>
      <c r="E99" s="27" t="inlineStr">
        <is>
          <t>Dessert</t>
        </is>
      </c>
      <c r="F99" s="27" t="inlineStr">
        <is>
          <t>Honey doughnuts finished with algarrobina and toasted quinoa.</t>
        </is>
      </c>
      <c r="G99" s="27" t="inlineStr">
        <is>
          <t>Live station</t>
        </is>
      </c>
      <c r="H99" s="27" t="inlineStr">
        <is>
          <t>No</t>
        </is>
      </c>
      <c r="I99" s="27" t="inlineStr">
        <is>
          <t>Yes</t>
        </is>
      </c>
      <c r="J99" s="27" t="inlineStr">
        <is>
          <t>Harina, algarrobina, quinua</t>
        </is>
      </c>
      <c r="K99" s="27" t="inlineStr">
        <is>
          <t>Makro; Surquillo N.1</t>
        </is>
      </c>
      <c r="L99" s="28" t="n">
        <v>2.2</v>
      </c>
      <c r="M99" s="29" t="n">
        <v>10</v>
      </c>
      <c r="N99" s="30">
        <f>IFERROR(L99/M99,"")</f>
        <v/>
      </c>
      <c r="O99" s="31" t="inlineStr">
        <is>
          <t>No - estimate</t>
        </is>
      </c>
      <c r="P99" s="31">
        <f>IF(N99="","",IF(N99&gt;0.32,"Reprice or resource",IF(N99&lt;0.2,"Check cost is realistic","OK")))</f>
        <v/>
      </c>
    </row>
    <row r="100" ht="23.85" customHeight="1" s="19">
      <c r="A100" s="27" t="n">
        <v>99</v>
      </c>
      <c r="B100" s="27" t="inlineStr">
        <is>
          <t>Galaktoboureko, Lucuma</t>
        </is>
      </c>
      <c r="C100" s="27" t="inlineStr">
        <is>
          <t>Galaktoboureko</t>
        </is>
      </c>
      <c r="D100" s="27" t="inlineStr">
        <is>
          <t>Greek</t>
        </is>
      </c>
      <c r="E100" s="27" t="inlineStr">
        <is>
          <t>Dessert</t>
        </is>
      </c>
      <c r="F100" s="27" t="inlineStr">
        <is>
          <t>Semolina custard in filo, lucuma in the custard. Check filo cost before you commit.</t>
        </is>
      </c>
      <c r="G100" s="27" t="inlineStr">
        <is>
          <t>Buffet</t>
        </is>
      </c>
      <c r="H100" s="27" t="inlineStr">
        <is>
          <t>No</t>
        </is>
      </c>
      <c r="I100" s="27" t="inlineStr">
        <is>
          <t>Yes</t>
        </is>
      </c>
      <c r="J100" s="27" t="inlineStr">
        <is>
          <t>Semola, lucuma, masa filo</t>
        </is>
      </c>
      <c r="K100" s="27" t="inlineStr">
        <is>
          <t>Importer; Surquillo N.1</t>
        </is>
      </c>
      <c r="L100" s="28" t="n">
        <v>3.6</v>
      </c>
      <c r="M100" s="29" t="n">
        <v>14</v>
      </c>
      <c r="N100" s="30">
        <f>IFERROR(L100/M100,"")</f>
        <v/>
      </c>
      <c r="O100" s="31" t="inlineStr">
        <is>
          <t>No - estimate</t>
        </is>
      </c>
      <c r="P100" s="31">
        <f>IF(N100="","",IF(N100&gt;0.32,"Reprice or resource",IF(N100&lt;0.2,"Check cost is realistic","OK")))</f>
        <v/>
      </c>
    </row>
    <row r="101" ht="23.85" customHeight="1" s="19">
      <c r="A101" s="27" t="n">
        <v>100</v>
      </c>
      <c r="B101" s="27" t="inlineStr">
        <is>
          <t>Cardamom &amp; Cacao Buns</t>
        </is>
      </c>
      <c r="C101" s="27" t="inlineStr">
        <is>
          <t>Kanelbullar / kardemummabullar</t>
        </is>
      </c>
      <c r="D101" s="27" t="inlineStr">
        <is>
          <t>Nordic</t>
        </is>
      </c>
      <c r="E101" s="27" t="inlineStr">
        <is>
          <t>Bakery</t>
        </is>
      </c>
      <c r="F101" s="27" t="inlineStr">
        <is>
          <t>Laminated cardamom buns with a cacao-nib sugar. Pairs with the buttery on a breakfast board.</t>
        </is>
      </c>
      <c r="G101" s="27" t="inlineStr">
        <is>
          <t>Drop-off</t>
        </is>
      </c>
      <c r="H101" s="27" t="inlineStr">
        <is>
          <t>No</t>
        </is>
      </c>
      <c r="I101" s="27" t="inlineStr">
        <is>
          <t>Yes</t>
        </is>
      </c>
      <c r="J101" s="27" t="inlineStr">
        <is>
          <t>Harina, cardamomo, nibs de cacao</t>
        </is>
      </c>
      <c r="K101" s="27" t="inlineStr">
        <is>
          <t>Makro; importer</t>
        </is>
      </c>
      <c r="L101" s="28" t="n">
        <v>2.4</v>
      </c>
      <c r="M101" s="29" t="n">
        <v>10</v>
      </c>
      <c r="N101" s="30">
        <f>IFERROR(L101/M101,"")</f>
        <v/>
      </c>
      <c r="O101" s="31" t="inlineStr">
        <is>
          <t>No - estimate</t>
        </is>
      </c>
      <c r="P101" s="31">
        <f>IF(N101="","",IF(N101&gt;0.32,"Reprice or resource",IF(N101&lt;0.2,"Check cost is realistic","OK")))</f>
        <v/>
      </c>
    </row>
    <row r="102" ht="15" customHeight="1" s="19">
      <c r="A102" s="27" t="n">
        <v>101</v>
      </c>
      <c r="B102" s="27" t="inlineStr">
        <is>
          <t>Atholl Brose Cream Pots</t>
        </is>
      </c>
      <c r="C102" s="27" t="inlineStr">
        <is>
          <t>Atholl brose</t>
        </is>
      </c>
      <c r="D102" s="27" t="inlineStr">
        <is>
          <t>Scottish</t>
        </is>
      </c>
      <c r="E102" s="27" t="inlineStr">
        <is>
          <t>Dessert</t>
        </is>
      </c>
      <c r="F102" s="27" t="inlineStr">
        <is>
          <t>Oatmeal, honey, cream and whisky set in pots; algarrobina for the honey.</t>
        </is>
      </c>
      <c r="G102" s="27" t="inlineStr">
        <is>
          <t>Drop-off</t>
        </is>
      </c>
      <c r="H102" s="27" t="inlineStr">
        <is>
          <t>Yes</t>
        </is>
      </c>
      <c r="I102" s="27" t="inlineStr">
        <is>
          <t>Yes</t>
        </is>
      </c>
      <c r="J102" s="27" t="inlineStr">
        <is>
          <t>Avena, crema, algarrobina, whisky</t>
        </is>
      </c>
      <c r="K102" s="27" t="inlineStr">
        <is>
          <t>Makro; Surquillo N.1</t>
        </is>
      </c>
      <c r="L102" s="28" t="n">
        <v>4</v>
      </c>
      <c r="M102" s="29" t="n">
        <v>15</v>
      </c>
      <c r="N102" s="30">
        <f>IFERROR(L102/M102,"")</f>
        <v/>
      </c>
      <c r="O102" s="31" t="inlineStr">
        <is>
          <t>No - estimate</t>
        </is>
      </c>
      <c r="P102" s="31">
        <f>IF(N102="","",IF(N102&gt;0.32,"Reprice or resource",IF(N102&lt;0.2,"Check cost is realistic","OK")))</f>
        <v/>
      </c>
    </row>
    <row r="103" ht="23.85" customHeight="1" s="19">
      <c r="A103" s="27" t="n">
        <v>102</v>
      </c>
      <c r="B103" s="27" t="inlineStr">
        <is>
          <t>Cacao Cranachan Bars</t>
        </is>
      </c>
      <c r="C103" s="27" t="inlineStr">
        <is>
          <t>Cranachan</t>
        </is>
      </c>
      <c r="D103" s="27" t="inlineStr">
        <is>
          <t>Scottish</t>
        </is>
      </c>
      <c r="E103" s="27" t="inlineStr">
        <is>
          <t>Bakery</t>
        </is>
      </c>
      <c r="F103" s="27" t="inlineStr">
        <is>
          <t>Cranachan rebuilt as a tray bake for boxes - oat base, berry layer, cacao top.</t>
        </is>
      </c>
      <c r="G103" s="27" t="inlineStr">
        <is>
          <t>Drop-off</t>
        </is>
      </c>
      <c r="H103" s="27" t="inlineStr">
        <is>
          <t>No</t>
        </is>
      </c>
      <c r="I103" s="27" t="inlineStr">
        <is>
          <t>Yes</t>
        </is>
      </c>
      <c r="J103" s="27" t="inlineStr">
        <is>
          <t>Avena, aguaymanto, cacao</t>
        </is>
      </c>
      <c r="K103" s="27" t="inlineStr">
        <is>
          <t>Makro; cacao distributor</t>
        </is>
      </c>
      <c r="L103" s="28" t="n">
        <v>2.4</v>
      </c>
      <c r="M103" s="29" t="n">
        <v>10</v>
      </c>
      <c r="N103" s="30">
        <f>IFERROR(L103/M103,"")</f>
        <v/>
      </c>
      <c r="O103" s="31" t="inlineStr">
        <is>
          <t>No - estimate</t>
        </is>
      </c>
      <c r="P103" s="31">
        <f>IF(N103="","",IF(N103&gt;0.32,"Reprice or resource",IF(N103&lt;0.2,"Check cost is realistic","OK")))</f>
        <v/>
      </c>
    </row>
    <row r="104" ht="15" customHeight="1" s="19">
      <c r="A104" s="27" t="n">
        <v>103</v>
      </c>
      <c r="B104" s="27" t="inlineStr">
        <is>
          <t>Highland Toffee &amp; Maras Salt</t>
        </is>
      </c>
      <c r="C104" s="27" t="inlineStr">
        <is>
          <t>Highland toffee</t>
        </is>
      </c>
      <c r="D104" s="27" t="inlineStr">
        <is>
          <t>Scottish</t>
        </is>
      </c>
      <c r="E104" s="27" t="inlineStr">
        <is>
          <t>Bakery</t>
        </is>
      </c>
      <c r="F104" s="27" t="inlineStr">
        <is>
          <t>Hard toffee cut into shards with Maras pink salt.</t>
        </is>
      </c>
      <c r="G104" s="27" t="inlineStr">
        <is>
          <t>Drop-off</t>
        </is>
      </c>
      <c r="H104" s="27" t="inlineStr">
        <is>
          <t>No</t>
        </is>
      </c>
      <c r="I104" s="27" t="inlineStr">
        <is>
          <t>Yes</t>
        </is>
      </c>
      <c r="J104" s="27" t="inlineStr">
        <is>
          <t>Azucar, mantequilla, sal de Maras</t>
        </is>
      </c>
      <c r="K104" s="27" t="inlineStr">
        <is>
          <t>Makro</t>
        </is>
      </c>
      <c r="L104" s="28" t="n">
        <v>1.2</v>
      </c>
      <c r="M104" s="29" t="n">
        <v>6</v>
      </c>
      <c r="N104" s="30">
        <f>IFERROR(L104/M104,"")</f>
        <v/>
      </c>
      <c r="O104" s="31" t="inlineStr">
        <is>
          <t>No - estimate</t>
        </is>
      </c>
      <c r="P104" s="31">
        <f>IF(N104="","",IF(N104&gt;0.32,"Reprice or resource",IF(N104&lt;0.2,"Check cost is realistic","OK")))</f>
        <v/>
      </c>
    </row>
    <row r="105" ht="23.85" customHeight="1" s="19">
      <c r="A105" s="27" t="n">
        <v>104</v>
      </c>
      <c r="B105" s="27" t="inlineStr">
        <is>
          <t>Marmalade Bread Pudding</t>
        </is>
      </c>
      <c r="C105" s="27" t="inlineStr">
        <is>
          <t>Bread and butter pudding</t>
        </is>
      </c>
      <c r="D105" s="27" t="inlineStr">
        <is>
          <t>English</t>
        </is>
      </c>
      <c r="E105" s="27" t="inlineStr">
        <is>
          <t>Dessert</t>
        </is>
      </c>
      <c r="F105" s="27" t="inlineStr">
        <is>
          <t>Uses day-old butteries and the lucuma marmalade - the waste-recovery dessert.</t>
        </is>
      </c>
      <c r="G105" s="27" t="inlineStr">
        <is>
          <t>Buffet</t>
        </is>
      </c>
      <c r="H105" s="27" t="inlineStr">
        <is>
          <t>No</t>
        </is>
      </c>
      <c r="I105" s="27" t="inlineStr">
        <is>
          <t>Yes</t>
        </is>
      </c>
      <c r="J105" s="27" t="inlineStr">
        <is>
          <t>Pan, lucuma, huevo, leche</t>
        </is>
      </c>
      <c r="K105" s="27" t="inlineStr">
        <is>
          <t>In-house surplus</t>
        </is>
      </c>
      <c r="L105" s="28" t="n">
        <v>2.4</v>
      </c>
      <c r="M105" s="29" t="n">
        <v>11</v>
      </c>
      <c r="N105" s="30">
        <f>IFERROR(L105/M105,"")</f>
        <v/>
      </c>
      <c r="O105" s="31" t="inlineStr">
        <is>
          <t>No - estimate</t>
        </is>
      </c>
      <c r="P105" s="31">
        <f>IF(N105="","",IF(N105&gt;0.32,"Reprice or resource",IF(N105&lt;0.2,"Check cost is realistic","OK")))</f>
        <v/>
      </c>
    </row>
    <row r="106" ht="15" customHeight="1" s="19">
      <c r="A106" s="27" t="n">
        <v>105</v>
      </c>
      <c r="B106" s="27" t="inlineStr">
        <is>
          <t>Whisky Toffee Tart</t>
        </is>
      </c>
      <c r="C106" s="27" t="inlineStr">
        <is>
          <t>Whisky toffee tart</t>
        </is>
      </c>
      <c r="D106" s="27" t="inlineStr">
        <is>
          <t>Scottish</t>
        </is>
      </c>
      <c r="E106" s="27" t="inlineStr">
        <is>
          <t>Dessert</t>
        </is>
      </c>
      <c r="F106" s="27" t="inlineStr">
        <is>
          <t>Set caramel tart with whisky and Maras salt on a cacao shortcrust.</t>
        </is>
      </c>
      <c r="G106" s="27" t="inlineStr">
        <is>
          <t>Drop-off</t>
        </is>
      </c>
      <c r="H106" s="27" t="inlineStr">
        <is>
          <t>Yes</t>
        </is>
      </c>
      <c r="I106" s="27" t="inlineStr">
        <is>
          <t>Yes</t>
        </is>
      </c>
      <c r="J106" s="27" t="inlineStr">
        <is>
          <t>Chancaca, crema, cacao, whisky</t>
        </is>
      </c>
      <c r="K106" s="27" t="inlineStr">
        <is>
          <t>Surquillo N.1; cacao distributor</t>
        </is>
      </c>
      <c r="L106" s="28" t="n">
        <v>3.8</v>
      </c>
      <c r="M106" s="29" t="n">
        <v>15</v>
      </c>
      <c r="N106" s="30">
        <f>IFERROR(L106/M106,"")</f>
        <v/>
      </c>
      <c r="O106" s="31" t="inlineStr">
        <is>
          <t>No - estimate</t>
        </is>
      </c>
      <c r="P106" s="31">
        <f>IF(N106="","",IF(N106&gt;0.32,"Reprice or resource",IF(N106&lt;0.2,"Check cost is realistic","OK")))</f>
        <v/>
      </c>
    </row>
    <row r="107" ht="23.85" customHeight="1" s="19">
      <c r="A107" s="27" t="n">
        <v>106</v>
      </c>
      <c r="B107" s="27" t="inlineStr">
        <is>
          <t>Rhubarb &amp; Aguaymanto Crumble</t>
        </is>
      </c>
      <c r="C107" s="27" t="inlineStr">
        <is>
          <t>Crumble</t>
        </is>
      </c>
      <c r="D107" s="27" t="inlineStr">
        <is>
          <t>English</t>
        </is>
      </c>
      <c r="E107" s="27" t="inlineStr">
        <is>
          <t>Dessert</t>
        </is>
      </c>
      <c r="F107" s="27" t="inlineStr">
        <is>
          <t>Oat crumble; aguaymanto carries the sourness where rhubarb is scarce and costly here.</t>
        </is>
      </c>
      <c r="G107" s="27" t="inlineStr">
        <is>
          <t>Buffet</t>
        </is>
      </c>
      <c r="H107" s="27" t="inlineStr">
        <is>
          <t>No</t>
        </is>
      </c>
      <c r="I107" s="27" t="inlineStr">
        <is>
          <t>Yes</t>
        </is>
      </c>
      <c r="J107" s="27" t="inlineStr">
        <is>
          <t>Aguaymanto, avena, azucar</t>
        </is>
      </c>
      <c r="K107" s="27" t="inlineStr">
        <is>
          <t>Surquillo N.1</t>
        </is>
      </c>
      <c r="L107" s="28" t="n">
        <v>3</v>
      </c>
      <c r="M107" s="29" t="n">
        <v>12</v>
      </c>
      <c r="N107" s="30">
        <f>IFERROR(L107/M107,"")</f>
        <v/>
      </c>
      <c r="O107" s="31" t="inlineStr">
        <is>
          <t>No - estimate</t>
        </is>
      </c>
      <c r="P107" s="31">
        <f>IF(N107="","",IF(N107&gt;0.32,"Reprice or resource",IF(N107&lt;0.2,"Check cost is realistic","OK")))</f>
        <v/>
      </c>
    </row>
    <row r="108" ht="15" customHeight="1" s="19">
      <c r="A108" s="27" t="n">
        <v>107</v>
      </c>
      <c r="B108" s="27" t="inlineStr">
        <is>
          <t>Shortbread Fingers (plain)</t>
        </is>
      </c>
      <c r="C108" s="27" t="inlineStr">
        <is>
          <t>Shortbread</t>
        </is>
      </c>
      <c r="D108" s="27" t="inlineStr">
        <is>
          <t>Scottish</t>
        </is>
      </c>
      <c r="E108" s="27" t="inlineStr">
        <is>
          <t>Bakery</t>
        </is>
      </c>
      <c r="F108" s="27" t="inlineStr">
        <is>
          <t>The control product. Nothing swapped. Proves the butter and the technique.</t>
        </is>
      </c>
      <c r="G108" s="27" t="inlineStr">
        <is>
          <t>Drop-off</t>
        </is>
      </c>
      <c r="H108" s="27" t="inlineStr">
        <is>
          <t>No</t>
        </is>
      </c>
      <c r="I108" s="27" t="inlineStr">
        <is>
          <t>Yes</t>
        </is>
      </c>
      <c r="J108" s="27" t="inlineStr">
        <is>
          <t>Mantequilla, harina, azucar</t>
        </is>
      </c>
      <c r="K108" s="27" t="inlineStr">
        <is>
          <t>Makro; Vivanda</t>
        </is>
      </c>
      <c r="L108" s="28" t="n">
        <v>1.4</v>
      </c>
      <c r="M108" s="29" t="n">
        <v>7</v>
      </c>
      <c r="N108" s="30">
        <f>IFERROR(L108/M108,"")</f>
        <v/>
      </c>
      <c r="O108" s="31" t="inlineStr">
        <is>
          <t>No - estimate</t>
        </is>
      </c>
      <c r="P108" s="31">
        <f>IF(N108="","",IF(N108&gt;0.32,"Reprice or resource",IF(N108&lt;0.2,"Check cost is realistic","OK")))</f>
        <v/>
      </c>
    </row>
    <row r="109" ht="15" customHeight="1" s="19">
      <c r="A109" s="27" t="n">
        <v>108</v>
      </c>
      <c r="B109" s="27" t="inlineStr">
        <is>
          <t>Oat &amp; Cacao Digestives</t>
        </is>
      </c>
      <c r="C109" s="27" t="inlineStr">
        <is>
          <t>Digestive biscuit</t>
        </is>
      </c>
      <c r="D109" s="27" t="inlineStr">
        <is>
          <t>English</t>
        </is>
      </c>
      <c r="E109" s="27" t="inlineStr">
        <is>
          <t>Bakery</t>
        </is>
      </c>
      <c r="F109" s="27" t="inlineStr">
        <is>
          <t>Wholemeal oat biscuit half-dipped in Peruvian dark chocolate.</t>
        </is>
      </c>
      <c r="G109" s="27" t="inlineStr">
        <is>
          <t>Drop-off</t>
        </is>
      </c>
      <c r="H109" s="27" t="inlineStr">
        <is>
          <t>No</t>
        </is>
      </c>
      <c r="I109" s="27" t="inlineStr">
        <is>
          <t>Yes</t>
        </is>
      </c>
      <c r="J109" s="27" t="inlineStr">
        <is>
          <t>Avena, harina integral, cacao</t>
        </is>
      </c>
      <c r="K109" s="27" t="inlineStr">
        <is>
          <t>Makro; cacao distributor</t>
        </is>
      </c>
      <c r="L109" s="28" t="n">
        <v>1.4</v>
      </c>
      <c r="M109" s="29" t="n">
        <v>7</v>
      </c>
      <c r="N109" s="30">
        <f>IFERROR(L109/M109,"")</f>
        <v/>
      </c>
      <c r="O109" s="31" t="inlineStr">
        <is>
          <t>No - estimate</t>
        </is>
      </c>
      <c r="P109" s="31">
        <f>IF(N109="","",IF(N109&gt;0.32,"Reprice or resource",IF(N109&lt;0.2,"Check cost is realistic","OK")))</f>
        <v/>
      </c>
    </row>
    <row r="110" ht="23.85" customHeight="1" s="19">
      <c r="A110" s="27" t="n">
        <v>109</v>
      </c>
      <c r="B110" s="27" t="inlineStr">
        <is>
          <t>Tzatziki con Rocoto</t>
        </is>
      </c>
      <c r="C110" s="27" t="inlineStr">
        <is>
          <t>Tzatziki</t>
        </is>
      </c>
      <c r="D110" s="27" t="inlineStr">
        <is>
          <t>Greek</t>
        </is>
      </c>
      <c r="E110" s="27" t="inlineStr">
        <is>
          <t>Canape</t>
        </is>
      </c>
      <c r="F110" s="27" t="inlineStr">
        <is>
          <t>Strained yoghurt, cucumber and garlic with rocoto for heat. Anchors the mezze box.</t>
        </is>
      </c>
      <c r="G110" s="27" t="inlineStr">
        <is>
          <t>Drop-off</t>
        </is>
      </c>
      <c r="H110" s="27" t="inlineStr">
        <is>
          <t>No</t>
        </is>
      </c>
      <c r="I110" s="27" t="inlineStr">
        <is>
          <t>Yes</t>
        </is>
      </c>
      <c r="J110" s="27" t="inlineStr">
        <is>
          <t>Yogurt, pepino, rocoto, ajo</t>
        </is>
      </c>
      <c r="K110" s="27" t="inlineStr">
        <is>
          <t>Surquillo N.1; Makro</t>
        </is>
      </c>
      <c r="L110" s="28" t="n">
        <v>1.8</v>
      </c>
      <c r="M110" s="29" t="n">
        <v>8</v>
      </c>
      <c r="N110" s="30">
        <f>IFERROR(L110/M110,"")</f>
        <v/>
      </c>
      <c r="O110" s="31" t="inlineStr">
        <is>
          <t>No - estimate</t>
        </is>
      </c>
      <c r="P110" s="31">
        <f>IF(N110="","",IF(N110&gt;0.32,"Reprice or resource",IF(N110&lt;0.2,"Check cost is realistic","OK")))</f>
        <v/>
      </c>
    </row>
    <row r="111" ht="23.85" customHeight="1" s="19">
      <c r="A111" s="27" t="n">
        <v>110</v>
      </c>
      <c r="B111" s="27" t="inlineStr">
        <is>
          <t>Dolmades de Acelga y Quinua</t>
        </is>
      </c>
      <c r="C111" s="27" t="inlineStr">
        <is>
          <t>Dolmades</t>
        </is>
      </c>
      <c r="D111" s="27" t="inlineStr">
        <is>
          <t>Greek</t>
        </is>
      </c>
      <c r="E111" s="27" t="inlineStr">
        <is>
          <t>Canape</t>
        </is>
      </c>
      <c r="F111" s="27" t="inlineStr">
        <is>
          <t>Chard leaves replace imported vine leaves; quinoa replaces rice. Cheaper and better.</t>
        </is>
      </c>
      <c r="G111" s="27" t="inlineStr">
        <is>
          <t>Drop-off</t>
        </is>
      </c>
      <c r="H111" s="27" t="inlineStr">
        <is>
          <t>No</t>
        </is>
      </c>
      <c r="I111" s="27" t="inlineStr">
        <is>
          <t>Yes</t>
        </is>
      </c>
      <c r="J111" s="27" t="inlineStr">
        <is>
          <t>Acelga, quinua, limon, hierbabuena</t>
        </is>
      </c>
      <c r="K111" s="27" t="inlineStr">
        <is>
          <t>Surquillo N.1</t>
        </is>
      </c>
      <c r="L111" s="28" t="n">
        <v>2.2</v>
      </c>
      <c r="M111" s="29" t="n">
        <v>9</v>
      </c>
      <c r="N111" s="30">
        <f>IFERROR(L111/M111,"")</f>
        <v/>
      </c>
      <c r="O111" s="31" t="inlineStr">
        <is>
          <t>No - estimate</t>
        </is>
      </c>
      <c r="P111" s="31">
        <f>IF(N111="","",IF(N111&gt;0.32,"Reprice or resource",IF(N111&lt;0.2,"Check cost is realistic","OK")))</f>
        <v/>
      </c>
    </row>
    <row r="112" ht="15" customHeight="1" s="19">
      <c r="A112" s="27" t="n">
        <v>111</v>
      </c>
      <c r="B112" s="27" t="inlineStr">
        <is>
          <t>Melitzanosalata, Aji Panca</t>
        </is>
      </c>
      <c r="C112" s="27" t="inlineStr">
        <is>
          <t>Melitzanosalata</t>
        </is>
      </c>
      <c r="D112" s="27" t="inlineStr">
        <is>
          <t>Greek</t>
        </is>
      </c>
      <c r="E112" s="27" t="inlineStr">
        <is>
          <t>Canape</t>
        </is>
      </c>
      <c r="F112" s="27" t="inlineStr">
        <is>
          <t>Charred aubergine dip with aji panca smoking the paste.</t>
        </is>
      </c>
      <c r="G112" s="27" t="inlineStr">
        <is>
          <t>Drop-off</t>
        </is>
      </c>
      <c r="H112" s="27" t="inlineStr">
        <is>
          <t>No</t>
        </is>
      </c>
      <c r="I112" s="27" t="inlineStr">
        <is>
          <t>Yes</t>
        </is>
      </c>
      <c r="J112" s="27" t="inlineStr">
        <is>
          <t>Berenjena, aji panca, aceite de oliva</t>
        </is>
      </c>
      <c r="K112" s="27" t="inlineStr">
        <is>
          <t>Surquillo N.1</t>
        </is>
      </c>
      <c r="L112" s="28" t="n">
        <v>2</v>
      </c>
      <c r="M112" s="29" t="n">
        <v>8</v>
      </c>
      <c r="N112" s="30">
        <f>IFERROR(L112/M112,"")</f>
        <v/>
      </c>
      <c r="O112" s="31" t="inlineStr">
        <is>
          <t>No - estimate</t>
        </is>
      </c>
      <c r="P112" s="31">
        <f>IF(N112="","",IF(N112&gt;0.32,"Reprice or resource",IF(N112&lt;0.2,"Check cost is realistic","OK")))</f>
        <v/>
      </c>
    </row>
    <row r="113" ht="23.85" customHeight="1" s="19">
      <c r="A113" s="27" t="n">
        <v>112</v>
      </c>
      <c r="B113" s="27" t="inlineStr">
        <is>
          <t>Horiatiki, Tacna &amp; Paria</t>
        </is>
      </c>
      <c r="C113" s="27" t="inlineStr">
        <is>
          <t>Horiatiki (Greek salad)</t>
        </is>
      </c>
      <c r="D113" s="27" t="inlineStr">
        <is>
          <t>Greek</t>
        </is>
      </c>
      <c r="E113" s="27" t="inlineStr">
        <is>
          <t>Side</t>
        </is>
      </c>
      <c r="F113" s="27" t="inlineStr">
        <is>
          <t>Queso paria for feta, Tacna olives, and local tomato. A one-for-one swap that costs less than the original.</t>
        </is>
      </c>
      <c r="G113" s="27" t="inlineStr">
        <is>
          <t>Drop-off</t>
        </is>
      </c>
      <c r="H113" s="27" t="inlineStr">
        <is>
          <t>No</t>
        </is>
      </c>
      <c r="I113" s="27" t="inlineStr">
        <is>
          <t>Yes</t>
        </is>
      </c>
      <c r="J113" s="27" t="inlineStr">
        <is>
          <t>Tomate, pepino, aceituna de Tacna, queso paria</t>
        </is>
      </c>
      <c r="K113" s="27" t="inlineStr">
        <is>
          <t>Surquillo N.1</t>
        </is>
      </c>
      <c r="L113" s="28" t="n">
        <v>4.2</v>
      </c>
      <c r="M113" s="29" t="n">
        <v>16</v>
      </c>
      <c r="N113" s="30">
        <f>IFERROR(L113/M113,"")</f>
        <v/>
      </c>
      <c r="O113" s="31" t="inlineStr">
        <is>
          <t>No - estimate</t>
        </is>
      </c>
      <c r="P113" s="31">
        <f>IF(N113="","",IF(N113&gt;0.32,"Reprice or resource",IF(N113&lt;0.2,"Check cost is realistic","OK")))</f>
        <v/>
      </c>
    </row>
    <row r="114" ht="23.85" customHeight="1" s="19">
      <c r="A114" s="27" t="n">
        <v>113</v>
      </c>
      <c r="B114" s="27" t="inlineStr">
        <is>
          <t>Avgolemono con Choclo</t>
        </is>
      </c>
      <c r="C114" s="27" t="inlineStr">
        <is>
          <t>Avgolemono</t>
        </is>
      </c>
      <c r="D114" s="27" t="inlineStr">
        <is>
          <t>Greek</t>
        </is>
      </c>
      <c r="E114" s="27" t="inlineStr">
        <is>
          <t>Main</t>
        </is>
      </c>
      <c r="F114" s="27" t="inlineStr">
        <is>
          <t>Egg-lemon chicken broth; choclo replaces the rice or orzo. Holds badly - serve within the hour.</t>
        </is>
      </c>
      <c r="G114" s="27" t="inlineStr">
        <is>
          <t>Buffet</t>
        </is>
      </c>
      <c r="H114" s="27" t="inlineStr">
        <is>
          <t>No</t>
        </is>
      </c>
      <c r="I114" s="27" t="inlineStr">
        <is>
          <t>No</t>
        </is>
      </c>
      <c r="J114" s="27" t="inlineStr">
        <is>
          <t>Pollo, huevo, limon, choclo</t>
        </is>
      </c>
      <c r="K114" s="27" t="inlineStr">
        <is>
          <t>Makro; Surquillo N.1</t>
        </is>
      </c>
      <c r="L114" s="28" t="n">
        <v>6</v>
      </c>
      <c r="M114" s="29" t="n">
        <v>24</v>
      </c>
      <c r="N114" s="30">
        <f>IFERROR(L114/M114,"")</f>
        <v/>
      </c>
      <c r="O114" s="31" t="inlineStr">
        <is>
          <t>No - estimate</t>
        </is>
      </c>
      <c r="P114" s="31">
        <f>IF(N114="","",IF(N114&gt;0.32,"Reprice or resource",IF(N114&lt;0.2,"Check cost is realistic","OK")))</f>
        <v/>
      </c>
    </row>
    <row r="115" ht="15" customHeight="1" s="19">
      <c r="A115" s="27" t="n">
        <v>114</v>
      </c>
      <c r="B115" s="27" t="inlineStr">
        <is>
          <t>Gyros de Cerdo</t>
        </is>
      </c>
      <c r="C115" s="27" t="inlineStr">
        <is>
          <t>Gyros</t>
        </is>
      </c>
      <c r="D115" s="27" t="inlineStr">
        <is>
          <t>Greek</t>
        </is>
      </c>
      <c r="E115" s="27" t="inlineStr">
        <is>
          <t>Main</t>
        </is>
      </c>
      <c r="F115" s="27" t="inlineStr">
        <is>
          <t>Pork gyros carved to order; tzatziki and salsa criolla side by side in the wrap.</t>
        </is>
      </c>
      <c r="G115" s="27" t="inlineStr">
        <is>
          <t>Live station</t>
        </is>
      </c>
      <c r="H115" s="27" t="inlineStr">
        <is>
          <t>No</t>
        </is>
      </c>
      <c r="I115" s="27" t="inlineStr">
        <is>
          <t>No</t>
        </is>
      </c>
      <c r="J115" s="27" t="inlineStr">
        <is>
          <t>Cerdo, oregano, yogurt, cebolla</t>
        </is>
      </c>
      <c r="K115" s="27" t="inlineStr">
        <is>
          <t>Artisanal butcher</t>
        </is>
      </c>
      <c r="L115" s="28" t="n">
        <v>9</v>
      </c>
      <c r="M115" s="29" t="n">
        <v>34</v>
      </c>
      <c r="N115" s="30">
        <f>IFERROR(L115/M115,"")</f>
        <v/>
      </c>
      <c r="O115" s="31" t="inlineStr">
        <is>
          <t>No - estimate</t>
        </is>
      </c>
      <c r="P115" s="31">
        <f>IF(N115="","",IF(N115&gt;0.32,"Reprice or resource",IF(N115&lt;0.2,"Check cost is realistic","OK")))</f>
        <v/>
      </c>
    </row>
    <row r="116" ht="23.85" customHeight="1" s="19">
      <c r="A116" s="27" t="n">
        <v>115</v>
      </c>
      <c r="B116" s="27" t="inlineStr">
        <is>
          <t>Saganaki de Paria</t>
        </is>
      </c>
      <c r="C116" s="27" t="inlineStr">
        <is>
          <t>Saganaki</t>
        </is>
      </c>
      <c r="D116" s="27" t="inlineStr">
        <is>
          <t>Greek</t>
        </is>
      </c>
      <c r="E116" s="27" t="inlineStr">
        <is>
          <t>Canape</t>
        </is>
      </c>
      <c r="F116" s="27" t="inlineStr">
        <is>
          <t>Pan-fried queso paria flamed with pisco instead of brandy. Pure theatre, cooked to order.</t>
        </is>
      </c>
      <c r="G116" s="27" t="inlineStr">
        <is>
          <t>Live station</t>
        </is>
      </c>
      <c r="H116" s="27" t="inlineStr">
        <is>
          <t>Yes</t>
        </is>
      </c>
      <c r="I116" s="27" t="inlineStr">
        <is>
          <t>Yes</t>
        </is>
      </c>
      <c r="J116" s="27" t="inlineStr">
        <is>
          <t>Queso paria, pisco, limon</t>
        </is>
      </c>
      <c r="K116" s="27" t="inlineStr">
        <is>
          <t>Surquillo N.1</t>
        </is>
      </c>
      <c r="L116" s="28" t="n">
        <v>4</v>
      </c>
      <c r="M116" s="29" t="n">
        <v>15</v>
      </c>
      <c r="N116" s="30">
        <f>IFERROR(L116/M116,"")</f>
        <v/>
      </c>
      <c r="O116" s="31" t="inlineStr">
        <is>
          <t>No - estimate</t>
        </is>
      </c>
      <c r="P116" s="31">
        <f>IF(N116="","",IF(N116&gt;0.32,"Reprice or resource",IF(N116&lt;0.2,"Check cost is realistic","OK")))</f>
        <v/>
      </c>
    </row>
    <row r="117" ht="23.85" customHeight="1" s="19">
      <c r="A117" s="27" t="n">
        <v>116</v>
      </c>
      <c r="B117" s="27" t="inlineStr">
        <is>
          <t>Baklava de Pecana y Algarrobina</t>
        </is>
      </c>
      <c r="C117" s="27" t="inlineStr">
        <is>
          <t>Baklava</t>
        </is>
      </c>
      <c r="D117" s="27" t="inlineStr">
        <is>
          <t>Greek</t>
        </is>
      </c>
      <c r="E117" s="27" t="inlineStr">
        <is>
          <t>Bakery</t>
        </is>
      </c>
      <c r="F117" s="27" t="inlineStr">
        <is>
          <t>Pecans for pistachios, algarrobina for the honey syrup. Filo is the cost variable - price it first.</t>
        </is>
      </c>
      <c r="G117" s="27" t="inlineStr">
        <is>
          <t>Drop-off</t>
        </is>
      </c>
      <c r="H117" s="27" t="inlineStr">
        <is>
          <t>No</t>
        </is>
      </c>
      <c r="I117" s="27" t="inlineStr">
        <is>
          <t>Yes</t>
        </is>
      </c>
      <c r="J117" s="27" t="inlineStr">
        <is>
          <t>Pecanas, algarrobina, masa filo</t>
        </is>
      </c>
      <c r="K117" s="27" t="inlineStr">
        <is>
          <t>Surquillo N.1; importer</t>
        </is>
      </c>
      <c r="L117" s="28" t="n">
        <v>3.4</v>
      </c>
      <c r="M117" s="29" t="n">
        <v>13</v>
      </c>
      <c r="N117" s="30">
        <f>IFERROR(L117/M117,"")</f>
        <v/>
      </c>
      <c r="O117" s="31" t="inlineStr">
        <is>
          <t>No - estimate</t>
        </is>
      </c>
      <c r="P117" s="31">
        <f>IF(N117="","",IF(N117&gt;0.32,"Reprice or resource",IF(N117&lt;0.2,"Check cost is realistic","OK")))</f>
        <v/>
      </c>
    </row>
    <row r="118" ht="23.85" customHeight="1" s="19">
      <c r="A118" s="27" t="n">
        <v>117</v>
      </c>
      <c r="B118" s="27" t="inlineStr">
        <is>
          <t>Rocoto &amp; Betarraga Pickles</t>
        </is>
      </c>
      <c r="C118" s="27" t="inlineStr">
        <is>
          <t>Nordic quick pickles</t>
        </is>
      </c>
      <c r="D118" s="27" t="inlineStr">
        <is>
          <t>Nordic</t>
        </is>
      </c>
      <c r="E118" s="27" t="inlineStr">
        <is>
          <t>Side</t>
        </is>
      </c>
      <c r="F118" s="27" t="inlineStr">
        <is>
          <t>Beetroot and rocoto in a sweet-sour brine. Keeps for weeks, cuts every rich dish on the menu.</t>
        </is>
      </c>
      <c r="G118" s="27" t="inlineStr">
        <is>
          <t>Drop-off</t>
        </is>
      </c>
      <c r="H118" s="27" t="inlineStr">
        <is>
          <t>No</t>
        </is>
      </c>
      <c r="I118" s="27" t="inlineStr">
        <is>
          <t>Yes</t>
        </is>
      </c>
      <c r="J118" s="27" t="inlineStr">
        <is>
          <t>Betarraga, rocoto, vinagre, azucar</t>
        </is>
      </c>
      <c r="K118" s="27" t="inlineStr">
        <is>
          <t>Surquillo N.1</t>
        </is>
      </c>
      <c r="L118" s="28" t="n">
        <v>1.2</v>
      </c>
      <c r="M118" s="29" t="n">
        <v>7</v>
      </c>
      <c r="N118" s="30">
        <f>IFERROR(L118/M118,"")</f>
        <v/>
      </c>
      <c r="O118" s="31" t="inlineStr">
        <is>
          <t>No - estimate</t>
        </is>
      </c>
      <c r="P118" s="31">
        <f>IF(N118="","",IF(N118&gt;0.32,"Reprice or resource",IF(N118&lt;0.2,"Check cost is realistic","OK")))</f>
        <v/>
      </c>
    </row>
    <row r="119" ht="23.85" customHeight="1" s="19">
      <c r="A119" s="27" t="n">
        <v>118</v>
      </c>
      <c r="B119" s="27" t="inlineStr">
        <is>
          <t>Beetroot-Cured Trout</t>
        </is>
      </c>
      <c r="C119" s="27" t="inlineStr">
        <is>
          <t>Gravlax</t>
        </is>
      </c>
      <c r="D119" s="27" t="inlineStr">
        <is>
          <t>Nordic</t>
        </is>
      </c>
      <c r="E119" s="27" t="inlineStr">
        <is>
          <t>Main</t>
        </is>
      </c>
      <c r="F119" s="27" t="inlineStr">
        <is>
          <t>Trout cured in beetroot, salt and dill - stains it magenta, needs no cooking, plates cold.</t>
        </is>
      </c>
      <c r="G119" s="27" t="inlineStr">
        <is>
          <t>Drop-off</t>
        </is>
      </c>
      <c r="H119" s="27" t="inlineStr">
        <is>
          <t>No</t>
        </is>
      </c>
      <c r="I119" s="27" t="inlineStr">
        <is>
          <t>No</t>
        </is>
      </c>
      <c r="J119" s="27" t="inlineStr">
        <is>
          <t>Trucha, betarraga, eneldo</t>
        </is>
      </c>
      <c r="K119" s="27" t="inlineStr">
        <is>
          <t>Terminal Pesquero VMT; Surquillo N.1</t>
        </is>
      </c>
      <c r="L119" s="28" t="n">
        <v>13</v>
      </c>
      <c r="M119" s="29" t="n">
        <v>46</v>
      </c>
      <c r="N119" s="30">
        <f>IFERROR(L119/M119,"")</f>
        <v/>
      </c>
      <c r="O119" s="31" t="inlineStr">
        <is>
          <t>No - estimate</t>
        </is>
      </c>
      <c r="P119" s="31">
        <f>IF(N119="","",IF(N119&gt;0.32,"Reprice or resource",IF(N119&lt;0.2,"Check cost is realistic","OK")))</f>
        <v/>
      </c>
    </row>
    <row r="120" ht="23.85" customHeight="1" s="19">
      <c r="A120" s="27" t="n">
        <v>119</v>
      </c>
      <c r="B120" s="27" t="inlineStr">
        <is>
          <t>Kottbullar, Aguaymanto Cream</t>
        </is>
      </c>
      <c r="C120" s="27" t="inlineStr">
        <is>
          <t>Swedish meatballs</t>
        </is>
      </c>
      <c r="D120" s="27" t="inlineStr">
        <is>
          <t>Nordic</t>
        </is>
      </c>
      <c r="E120" s="27" t="inlineStr">
        <is>
          <t>Main</t>
        </is>
      </c>
      <c r="F120" s="27" t="inlineStr">
        <is>
          <t>Aguaymanto replaces lingonberry in the cream sauce - same acidity, local supply.</t>
        </is>
      </c>
      <c r="G120" s="27" t="inlineStr">
        <is>
          <t>Buffet</t>
        </is>
      </c>
      <c r="H120" s="27" t="inlineStr">
        <is>
          <t>No</t>
        </is>
      </c>
      <c r="I120" s="27" t="inlineStr">
        <is>
          <t>No</t>
        </is>
      </c>
      <c r="J120" s="27" t="inlineStr">
        <is>
          <t>Carne molida, aguaymanto, crema</t>
        </is>
      </c>
      <c r="K120" s="27" t="inlineStr">
        <is>
          <t>Makro; Surquillo N.1</t>
        </is>
      </c>
      <c r="L120" s="28" t="n">
        <v>9</v>
      </c>
      <c r="M120" s="29" t="n">
        <v>32</v>
      </c>
      <c r="N120" s="30">
        <f>IFERROR(L120/M120,"")</f>
        <v/>
      </c>
      <c r="O120" s="31" t="inlineStr">
        <is>
          <t>No - estimate</t>
        </is>
      </c>
      <c r="P120" s="31">
        <f>IF(N120="","",IF(N120&gt;0.32,"Reprice or resource",IF(N120&lt;0.2,"Check cost is realistic","OK")))</f>
        <v/>
      </c>
    </row>
    <row r="121" ht="23.85" customHeight="1" s="19">
      <c r="A121" s="27" t="n">
        <v>120</v>
      </c>
      <c r="B121" s="27" t="inlineStr">
        <is>
          <t>Rye &amp; Kiwicha Crispbread</t>
        </is>
      </c>
      <c r="C121" s="27" t="inlineStr">
        <is>
          <t>Knackebrod</t>
        </is>
      </c>
      <c r="D121" s="27" t="inlineStr">
        <is>
          <t>Nordic</t>
        </is>
      </c>
      <c r="E121" s="27" t="inlineStr">
        <is>
          <t>Side</t>
        </is>
      </c>
      <c r="F121" s="27" t="inlineStr">
        <is>
          <t>Seeded rye crispbread with kiwicha. Second platform product alongside the oatcake.</t>
        </is>
      </c>
      <c r="G121" s="27" t="inlineStr">
        <is>
          <t>Drop-off</t>
        </is>
      </c>
      <c r="H121" s="27" t="inlineStr">
        <is>
          <t>No</t>
        </is>
      </c>
      <c r="I121" s="27" t="inlineStr">
        <is>
          <t>Yes</t>
        </is>
      </c>
      <c r="J121" s="27" t="inlineStr">
        <is>
          <t>Centeno, kiwicha, sal</t>
        </is>
      </c>
      <c r="K121" s="27" t="inlineStr">
        <is>
          <t>Makro</t>
        </is>
      </c>
      <c r="L121" s="28" t="n">
        <v>1</v>
      </c>
      <c r="M121" s="29" t="n">
        <v>6</v>
      </c>
      <c r="N121" s="30">
        <f>IFERROR(L121/M121,"")</f>
        <v/>
      </c>
      <c r="O121" s="31" t="inlineStr">
        <is>
          <t>No - estimate</t>
        </is>
      </c>
      <c r="P121" s="31">
        <f>IF(N121="","",IF(N121&gt;0.32,"Reprice or resource",IF(N121&lt;0.2,"Check cost is realistic","OK")))</f>
        <v/>
      </c>
    </row>
    <row r="122" ht="15" customHeight="1" s="19">
      <c r="A122" s="27" t="n">
        <v>121</v>
      </c>
      <c r="B122" s="27" t="inlineStr">
        <is>
          <t>Dill &amp; Papa Nativa Salad</t>
        </is>
      </c>
      <c r="C122" s="27" t="inlineStr">
        <is>
          <t>Nordic potato salad</t>
        </is>
      </c>
      <c r="D122" s="27" t="inlineStr">
        <is>
          <t>Nordic</t>
        </is>
      </c>
      <c r="E122" s="27" t="inlineStr">
        <is>
          <t>Side</t>
        </is>
      </c>
      <c r="F122" s="27" t="inlineStr">
        <is>
          <t>Cold native potatoes, dill, mustard, soured cream. Travels perfectly.</t>
        </is>
      </c>
      <c r="G122" s="27" t="inlineStr">
        <is>
          <t>Drop-off</t>
        </is>
      </c>
      <c r="H122" s="27" t="inlineStr">
        <is>
          <t>No</t>
        </is>
      </c>
      <c r="I122" s="27" t="inlineStr">
        <is>
          <t>Yes</t>
        </is>
      </c>
      <c r="J122" s="27" t="inlineStr">
        <is>
          <t>Papa nativa, eneldo, mostaza, crema</t>
        </is>
      </c>
      <c r="K122" s="27" t="inlineStr">
        <is>
          <t>Surquillo N.1</t>
        </is>
      </c>
      <c r="L122" s="28" t="n">
        <v>2.6</v>
      </c>
      <c r="M122" s="29" t="n">
        <v>11</v>
      </c>
      <c r="N122" s="30">
        <f>IFERROR(L122/M122,"")</f>
        <v/>
      </c>
      <c r="O122" s="31" t="inlineStr">
        <is>
          <t>No - estimate</t>
        </is>
      </c>
      <c r="P122" s="31">
        <f>IF(N122="","",IF(N122&gt;0.32,"Reprice or resource",IF(N122&lt;0.2,"Check cost is realistic","OK")))</f>
        <v/>
      </c>
    </row>
    <row r="123" ht="23.85" customHeight="1" s="19">
      <c r="A123" s="27" t="n">
        <v>122</v>
      </c>
      <c r="B123" s="27" t="inlineStr">
        <is>
          <t>Aguaymanto Preserve</t>
        </is>
      </c>
      <c r="C123" s="27" t="inlineStr">
        <is>
          <t>Lingonberry preserve</t>
        </is>
      </c>
      <c r="D123" s="27" t="inlineStr">
        <is>
          <t>Nordic</t>
        </is>
      </c>
      <c r="E123" s="27" t="inlineStr">
        <is>
          <t>Bakery</t>
        </is>
      </c>
      <c r="F123" s="27" t="inlineStr">
        <is>
          <t>The lingonberry substitute, made once and used across meatballs, cured fish and cheese boards.</t>
        </is>
      </c>
      <c r="G123" s="27" t="inlineStr">
        <is>
          <t>Drop-off</t>
        </is>
      </c>
      <c r="H123" s="27" t="inlineStr">
        <is>
          <t>No</t>
        </is>
      </c>
      <c r="I123" s="27" t="inlineStr">
        <is>
          <t>Yes</t>
        </is>
      </c>
      <c r="J123" s="27" t="inlineStr">
        <is>
          <t>Aguaymanto, azucar, limon</t>
        </is>
      </c>
      <c r="K123" s="27" t="inlineStr">
        <is>
          <t>Surquillo N.1</t>
        </is>
      </c>
      <c r="L123" s="28" t="n">
        <v>1.4</v>
      </c>
      <c r="M123" s="29" t="n">
        <v>9</v>
      </c>
      <c r="N123" s="30">
        <f>IFERROR(L123/M123,"")</f>
        <v/>
      </c>
      <c r="O123" s="31" t="inlineStr">
        <is>
          <t>No - estimate</t>
        </is>
      </c>
      <c r="P123" s="31">
        <f>IF(N123="","",IF(N123&gt;0.32,"Reprice or resource",IF(N123&lt;0.2,"Check cost is realistic","OK")))</f>
        <v/>
      </c>
    </row>
    <row r="124" ht="15" customHeight="1" s="19">
      <c r="A124" s="27" t="n">
        <v>123</v>
      </c>
      <c r="B124" s="27" t="inlineStr">
        <is>
          <t>Cured Duck, Muna &amp; Pepper</t>
        </is>
      </c>
      <c r="C124" s="27" t="inlineStr">
        <is>
          <t>Juniper-cured duck</t>
        </is>
      </c>
      <c r="D124" s="27" t="inlineStr">
        <is>
          <t>Nordic</t>
        </is>
      </c>
      <c r="E124" s="27" t="inlineStr">
        <is>
          <t>Canape</t>
        </is>
      </c>
      <c r="F124" s="27" t="inlineStr">
        <is>
          <t>Muna stands in for juniper in the cure. Sliced thin, served cold on crispbread.</t>
        </is>
      </c>
      <c r="G124" s="27" t="inlineStr">
        <is>
          <t>Drop-off</t>
        </is>
      </c>
      <c r="H124" s="27" t="inlineStr">
        <is>
          <t>No</t>
        </is>
      </c>
      <c r="I124" s="27" t="inlineStr">
        <is>
          <t>No</t>
        </is>
      </c>
      <c r="J124" s="27" t="inlineStr">
        <is>
          <t>Pato, muna, pimienta, sal</t>
        </is>
      </c>
      <c r="K124" s="27" t="inlineStr">
        <is>
          <t>Oregon Foods; Surquillo N.1</t>
        </is>
      </c>
      <c r="L124" s="28" t="n">
        <v>5</v>
      </c>
      <c r="M124" s="29" t="n">
        <v>18</v>
      </c>
      <c r="N124" s="30">
        <f>IFERROR(L124/M124,"")</f>
        <v/>
      </c>
      <c r="O124" s="31" t="inlineStr">
        <is>
          <t>No - estimate</t>
        </is>
      </c>
      <c r="P124" s="31">
        <f>IF(N124="","",IF(N124&gt;0.32,"Reprice or resource",IF(N124&lt;0.2,"Check cost is realistic","OK")))</f>
        <v/>
      </c>
    </row>
    <row r="125" ht="23.85" customHeight="1" s="19">
      <c r="A125" s="27" t="n">
        <v>124</v>
      </c>
      <c r="B125" s="27" t="inlineStr">
        <is>
          <t>Txistorra &amp; Papa Nativa Pintxo</t>
        </is>
      </c>
      <c r="C125" s="27" t="inlineStr">
        <is>
          <t>Txistorra pintxo</t>
        </is>
      </c>
      <c r="D125" s="27" t="inlineStr">
        <is>
          <t>Basque</t>
        </is>
      </c>
      <c r="E125" s="27" t="inlineStr">
        <is>
          <t>Canape</t>
        </is>
      </c>
      <c r="F125" s="27" t="inlineStr">
        <is>
          <t>Fast-cured chorizo-style sausage on a native potato coin. Skewered, room temperature.</t>
        </is>
      </c>
      <c r="G125" s="27" t="inlineStr">
        <is>
          <t>Drop-off</t>
        </is>
      </c>
      <c r="H125" s="27" t="inlineStr">
        <is>
          <t>No</t>
        </is>
      </c>
      <c r="I125" s="27" t="inlineStr">
        <is>
          <t>No</t>
        </is>
      </c>
      <c r="J125" s="27" t="inlineStr">
        <is>
          <t>Chorizo artesanal, papa nativa</t>
        </is>
      </c>
      <c r="K125" s="27" t="inlineStr">
        <is>
          <t>Artisanal butcher; Surquillo N.1</t>
        </is>
      </c>
      <c r="L125" s="28" t="n">
        <v>2.6</v>
      </c>
      <c r="M125" s="29" t="n">
        <v>10</v>
      </c>
      <c r="N125" s="30">
        <f>IFERROR(L125/M125,"")</f>
        <v/>
      </c>
      <c r="O125" s="31" t="inlineStr">
        <is>
          <t>No - estimate</t>
        </is>
      </c>
      <c r="P125" s="31">
        <f>IF(N125="","",IF(N125&gt;0.32,"Reprice or resource",IF(N125&lt;0.2,"Check cost is realistic","OK")))</f>
        <v/>
      </c>
    </row>
    <row r="126" ht="23.85" customHeight="1" s="19">
      <c r="A126" s="27" t="n">
        <v>125</v>
      </c>
      <c r="B126" s="27" t="inlineStr">
        <is>
          <t>Croquetas de Corvina Salada</t>
        </is>
      </c>
      <c r="C126" s="27" t="inlineStr">
        <is>
          <t>Bacalao croquetas</t>
        </is>
      </c>
      <c r="D126" s="27" t="inlineStr">
        <is>
          <t>Basque</t>
        </is>
      </c>
      <c r="E126" s="27" t="inlineStr">
        <is>
          <t>Canape</t>
        </is>
      </c>
      <c r="F126" s="27" t="inlineStr">
        <is>
          <t>Salt cod is imported and dear; salt-cured local corvina does the same job for a third of the price.</t>
        </is>
      </c>
      <c r="G126" s="27" t="inlineStr">
        <is>
          <t>Drop-off</t>
        </is>
      </c>
      <c r="H126" s="27" t="inlineStr">
        <is>
          <t>No</t>
        </is>
      </c>
      <c r="I126" s="27" t="inlineStr">
        <is>
          <t>No</t>
        </is>
      </c>
      <c r="J126" s="27" t="inlineStr">
        <is>
          <t>Corvina, leche, harina</t>
        </is>
      </c>
      <c r="K126" s="27" t="inlineStr">
        <is>
          <t>Terminal Pesquero VMT</t>
        </is>
      </c>
      <c r="L126" s="28" t="n">
        <v>3</v>
      </c>
      <c r="M126" s="29" t="n">
        <v>11</v>
      </c>
      <c r="N126" s="30">
        <f>IFERROR(L126/M126,"")</f>
        <v/>
      </c>
      <c r="O126" s="31" t="inlineStr">
        <is>
          <t>No - estimate</t>
        </is>
      </c>
      <c r="P126" s="31">
        <f>IF(N126="","",IF(N126&gt;0.32,"Reprice or resource",IF(N126&lt;0.2,"Check cost is realistic","OK")))</f>
        <v/>
      </c>
    </row>
    <row r="127" ht="23.85" customHeight="1" s="19">
      <c r="A127" s="27" t="n">
        <v>126</v>
      </c>
      <c r="B127" s="27" t="inlineStr">
        <is>
          <t>Piperrada con Aji Amarillo</t>
        </is>
      </c>
      <c r="C127" s="27" t="inlineStr">
        <is>
          <t>Piperrada</t>
        </is>
      </c>
      <c r="D127" s="27" t="inlineStr">
        <is>
          <t>Basque</t>
        </is>
      </c>
      <c r="E127" s="27" t="inlineStr">
        <is>
          <t>Side</t>
        </is>
      </c>
      <c r="F127" s="27" t="inlineStr">
        <is>
          <t>Slow-cooked peppers and onion with aji amarillo folded through. Vegetarian, holds for hours.</t>
        </is>
      </c>
      <c r="G127" s="27" t="inlineStr">
        <is>
          <t>Buffet</t>
        </is>
      </c>
      <c r="H127" s="27" t="inlineStr">
        <is>
          <t>No</t>
        </is>
      </c>
      <c r="I127" s="27" t="inlineStr">
        <is>
          <t>Yes</t>
        </is>
      </c>
      <c r="J127" s="27" t="inlineStr">
        <is>
          <t>Pimiento, cebolla, aji amarillo, tomate</t>
        </is>
      </c>
      <c r="K127" s="27" t="inlineStr">
        <is>
          <t>Surquillo N.1</t>
        </is>
      </c>
      <c r="L127" s="28" t="n">
        <v>3</v>
      </c>
      <c r="M127" s="29" t="n">
        <v>12</v>
      </c>
      <c r="N127" s="30">
        <f>IFERROR(L127/M127,"")</f>
        <v/>
      </c>
      <c r="O127" s="31" t="inlineStr">
        <is>
          <t>No - estimate</t>
        </is>
      </c>
      <c r="P127" s="31">
        <f>IF(N127="","",IF(N127&gt;0.32,"Reprice or resource",IF(N127&lt;0.2,"Check cost is realistic","OK")))</f>
        <v/>
      </c>
    </row>
    <row r="128" ht="23.85" customHeight="1" s="19">
      <c r="A128" s="27" t="n">
        <v>127</v>
      </c>
      <c r="B128" s="27" t="inlineStr">
        <is>
          <t>Marmitako de Bonito</t>
        </is>
      </c>
      <c r="C128" s="27" t="inlineStr">
        <is>
          <t>Marmitako</t>
        </is>
      </c>
      <c r="D128" s="27" t="inlineStr">
        <is>
          <t>Basque</t>
        </is>
      </c>
      <c r="E128" s="27" t="inlineStr">
        <is>
          <t>Main</t>
        </is>
      </c>
      <c r="F128" s="27" t="inlineStr">
        <is>
          <t>Basque tuna and potato stew built on bonito and native potatoes - already halfway Peruvian.</t>
        </is>
      </c>
      <c r="G128" s="27" t="inlineStr">
        <is>
          <t>Buffet</t>
        </is>
      </c>
      <c r="H128" s="27" t="inlineStr">
        <is>
          <t>No</t>
        </is>
      </c>
      <c r="I128" s="27" t="inlineStr">
        <is>
          <t>No</t>
        </is>
      </c>
      <c r="J128" s="27" t="inlineStr">
        <is>
          <t>Bonito, papa nativa, pimiento</t>
        </is>
      </c>
      <c r="K128" s="27" t="inlineStr">
        <is>
          <t>Terminal Pesquero VMT</t>
        </is>
      </c>
      <c r="L128" s="28" t="n">
        <v>10</v>
      </c>
      <c r="M128" s="29" t="n">
        <v>36</v>
      </c>
      <c r="N128" s="30">
        <f>IFERROR(L128/M128,"")</f>
        <v/>
      </c>
      <c r="O128" s="31" t="inlineStr">
        <is>
          <t>No - estimate</t>
        </is>
      </c>
      <c r="P128" s="31">
        <f>IF(N128="","",IF(N128&gt;0.32,"Reprice or resource",IF(N128&lt;0.2,"Check cost is realistic","OK")))</f>
        <v/>
      </c>
    </row>
    <row r="129" ht="23.85" customHeight="1" s="19">
      <c r="A129" s="27" t="n">
        <v>128</v>
      </c>
      <c r="B129" s="27" t="inlineStr">
        <is>
          <t>Txipirones, Aji Limo</t>
        </is>
      </c>
      <c r="C129" s="27" t="inlineStr">
        <is>
          <t>Txipirones a la plancha</t>
        </is>
      </c>
      <c r="D129" s="27" t="inlineStr">
        <is>
          <t>Basque</t>
        </is>
      </c>
      <c r="E129" s="27" t="inlineStr">
        <is>
          <t>Main</t>
        </is>
      </c>
      <c r="F129" s="27" t="inlineStr">
        <is>
          <t>Baby squid seared hard, aji limo and parsley. Ninety seconds on the plancha or it is rubber.</t>
        </is>
      </c>
      <c r="G129" s="27" t="inlineStr">
        <is>
          <t>Live station</t>
        </is>
      </c>
      <c r="H129" s="27" t="inlineStr">
        <is>
          <t>No</t>
        </is>
      </c>
      <c r="I129" s="27" t="inlineStr">
        <is>
          <t>No</t>
        </is>
      </c>
      <c r="J129" s="27" t="inlineStr">
        <is>
          <t>Calamar, aji limo, perejil</t>
        </is>
      </c>
      <c r="K129" s="27" t="inlineStr">
        <is>
          <t>Terminal Pesquero VMT</t>
        </is>
      </c>
      <c r="L129" s="28" t="n">
        <v>11</v>
      </c>
      <c r="M129" s="29" t="n">
        <v>38</v>
      </c>
      <c r="N129" s="30">
        <f>IFERROR(L129/M129,"")</f>
        <v/>
      </c>
      <c r="O129" s="31" t="inlineStr">
        <is>
          <t>No - estimate</t>
        </is>
      </c>
      <c r="P129" s="31">
        <f>IF(N129="","",IF(N129&gt;0.32,"Reprice or resource",IF(N129&lt;0.2,"Check cost is realistic","OK")))</f>
        <v/>
      </c>
    </row>
    <row r="130" ht="23.85" customHeight="1" s="19">
      <c r="A130" s="27" t="n">
        <v>129</v>
      </c>
      <c r="B130" s="27" t="inlineStr">
        <is>
          <t>Smoked Paria &amp; Aguaymanto Paste</t>
        </is>
      </c>
      <c r="C130" s="27" t="inlineStr">
        <is>
          <t>Idiazabal with membrillo</t>
        </is>
      </c>
      <c r="D130" s="27" t="inlineStr">
        <is>
          <t>Basque</t>
        </is>
      </c>
      <c r="E130" s="27" t="inlineStr">
        <is>
          <t>Side</t>
        </is>
      </c>
      <c r="F130" s="27" t="inlineStr">
        <is>
          <t>Smoked queso paria for Idiazabal, aguaymanto paste for membrillo. Cheese course, no import cost.</t>
        </is>
      </c>
      <c r="G130" s="27" t="inlineStr">
        <is>
          <t>Drop-off</t>
        </is>
      </c>
      <c r="H130" s="27" t="inlineStr">
        <is>
          <t>No</t>
        </is>
      </c>
      <c r="I130" s="27" t="inlineStr">
        <is>
          <t>Yes</t>
        </is>
      </c>
      <c r="J130" s="27" t="inlineStr">
        <is>
          <t>Queso paria ahumado, aguaymanto</t>
        </is>
      </c>
      <c r="K130" s="27" t="inlineStr">
        <is>
          <t>Surquillo N.1</t>
        </is>
      </c>
      <c r="L130" s="28" t="n">
        <v>3.4</v>
      </c>
      <c r="M130" s="29" t="n">
        <v>14</v>
      </c>
      <c r="N130" s="30">
        <f>IFERROR(L130/M130,"")</f>
        <v/>
      </c>
      <c r="O130" s="31" t="inlineStr">
        <is>
          <t>No - estimate</t>
        </is>
      </c>
      <c r="P130" s="31">
        <f>IF(N130="","",IF(N130&gt;0.32,"Reprice or resource",IF(N130&lt;0.2,"Check cost is realistic","OK")))</f>
        <v/>
      </c>
    </row>
    <row r="131" ht="23.85" customHeight="1" s="19">
      <c r="A131" s="27" t="n">
        <v>130</v>
      </c>
      <c r="B131" s="27" t="inlineStr">
        <is>
          <t>Tarta de Queso, Lucuma</t>
        </is>
      </c>
      <c r="C131" s="27" t="inlineStr">
        <is>
          <t>Basque burnt cheesecake</t>
        </is>
      </c>
      <c r="D131" s="27" t="inlineStr">
        <is>
          <t>Basque</t>
        </is>
      </c>
      <c r="E131" s="27" t="inlineStr">
        <is>
          <t>Dessert</t>
        </is>
      </c>
      <c r="F131" s="27" t="inlineStr">
        <is>
          <t>La Vina-style burnt cheesecake with lucuma. Bakes ahead, travels whole, cuts to any headcount - the best-value dessert on this sheet.</t>
        </is>
      </c>
      <c r="G131" s="27" t="inlineStr">
        <is>
          <t>Buffet</t>
        </is>
      </c>
      <c r="H131" s="27" t="inlineStr">
        <is>
          <t>No</t>
        </is>
      </c>
      <c r="I131" s="27" t="inlineStr">
        <is>
          <t>Yes</t>
        </is>
      </c>
      <c r="J131" s="27" t="inlineStr">
        <is>
          <t>Queso crema, lucuma, huevo</t>
        </is>
      </c>
      <c r="K131" s="27" t="inlineStr">
        <is>
          <t>Makro; Surquillo N.1</t>
        </is>
      </c>
      <c r="L131" s="28" t="n">
        <v>4.4</v>
      </c>
      <c r="M131" s="29" t="n">
        <v>17</v>
      </c>
      <c r="N131" s="30">
        <f>IFERROR(L131/M131,"")</f>
        <v/>
      </c>
      <c r="O131" s="31" t="inlineStr">
        <is>
          <t>No - estimate</t>
        </is>
      </c>
      <c r="P131" s="31">
        <f>IF(N131="","",IF(N131&gt;0.32,"Reprice or resource",IF(N131&lt;0.2,"Check cost is realistic","OK")))</f>
        <v/>
      </c>
    </row>
    <row r="132">
      <c r="A132" s="27" t="n">
        <v>131</v>
      </c>
      <c r="B132" s="27" t="inlineStr">
        <is>
          <t>Causa de Trucha Ahumada</t>
        </is>
      </c>
      <c r="C132" s="27" t="inlineStr">
        <is>
          <t>Causa limena</t>
        </is>
      </c>
      <c r="D132" s="27" t="inlineStr">
        <is>
          <t>Peruvian</t>
        </is>
      </c>
      <c r="E132" s="27" t="inlineStr">
        <is>
          <t>Canape</t>
        </is>
      </c>
      <c r="F132" s="27" t="inlineStr">
        <is>
          <t>Peruvian base, Scottish move: the yellow potato terrine stands, but hot-smoked trout and dill replace the chicken mayo. Reads as causa to a Lima guest and as gravlax to a Scottish one.</t>
        </is>
      </c>
      <c r="G132" s="27" t="inlineStr">
        <is>
          <t>Drop-off</t>
        </is>
      </c>
      <c r="H132" s="27" t="inlineStr">
        <is>
          <t>No</t>
        </is>
      </c>
      <c r="I132" s="27" t="inlineStr">
        <is>
          <t>No</t>
        </is>
      </c>
      <c r="J132" s="27" t="inlineStr">
        <is>
          <t>Papa amarilla, trucha, aji amarillo, eneldo</t>
        </is>
      </c>
      <c r="K132" s="27" t="inlineStr">
        <is>
          <t>Surquillo N.1; Terminal Pesquero VMT</t>
        </is>
      </c>
      <c r="L132" s="28" t="n">
        <v>3.2</v>
      </c>
      <c r="M132" s="29" t="n">
        <v>12</v>
      </c>
      <c r="N132" s="30">
        <f>IFERROR(L132/M132,"")</f>
        <v/>
      </c>
      <c r="O132" s="31" t="inlineStr">
        <is>
          <t>No - estimate</t>
        </is>
      </c>
      <c r="P132" s="31">
        <f>IF(N132="","",IF(N132&gt;0.32,"Reprice or resource",IF(N132&lt;0.2,"Check cost is realistic","OK")))</f>
        <v/>
      </c>
    </row>
    <row r="133" ht="15" customHeight="1" s="19">
      <c r="A133" s="27" t="n">
        <v>132</v>
      </c>
      <c r="B133" s="27" t="inlineStr">
        <is>
          <t>Causa de Haggis</t>
        </is>
      </c>
      <c r="C133" s="27" t="inlineStr">
        <is>
          <t>Causa limena</t>
        </is>
      </c>
      <c r="D133" s="27" t="inlineStr">
        <is>
          <t>Peruvian</t>
        </is>
      </c>
      <c r="E133" s="27" t="inlineStr">
        <is>
          <t>Canape</t>
        </is>
      </c>
      <c r="F133" s="27" t="inlineStr">
        <is>
          <t>Peruvian base, Scottish move: haggis replaces the filling entirely. The aji amarillo in the potato does what the pepper in the haggis does, from the other side.</t>
        </is>
      </c>
      <c r="G133" s="27" t="inlineStr">
        <is>
          <t>Drop-off</t>
        </is>
      </c>
      <c r="H133" s="27" t="inlineStr">
        <is>
          <t>No</t>
        </is>
      </c>
      <c r="I133" s="27" t="inlineStr">
        <is>
          <t>No</t>
        </is>
      </c>
      <c r="J133" s="27" t="inlineStr">
        <is>
          <t>Papa amarilla, aji amarillo, lamb offal, avena</t>
        </is>
      </c>
      <c r="K133" s="27" t="inlineStr">
        <is>
          <t>Surquillo N.1; Mercado de Magdalena</t>
        </is>
      </c>
      <c r="L133" s="28" t="n">
        <v>2.6</v>
      </c>
      <c r="M133" s="29" t="n">
        <v>10</v>
      </c>
      <c r="N133" s="30">
        <f>IFERROR(L133/M133,"")</f>
        <v/>
      </c>
      <c r="O133" s="31" t="inlineStr">
        <is>
          <t>No - estimate</t>
        </is>
      </c>
      <c r="P133" s="31">
        <f>IF(N133="","",IF(N133&gt;0.32,"Reprice or resource",IF(N133&lt;0.2,"Check cost is realistic","OK")))</f>
        <v/>
      </c>
    </row>
    <row r="134" ht="15" customHeight="1" s="19">
      <c r="A134" s="27" t="n">
        <v>133</v>
      </c>
      <c r="B134" s="27" t="inlineStr">
        <is>
          <t>Anticuchos de Cordero, Muna</t>
        </is>
      </c>
      <c r="C134" s="27" t="inlineStr">
        <is>
          <t>Anticucho</t>
        </is>
      </c>
      <c r="D134" s="27" t="inlineStr">
        <is>
          <t>Peruvian</t>
        </is>
      </c>
      <c r="E134" s="27" t="inlineStr">
        <is>
          <t>Main</t>
        </is>
      </c>
      <c r="F134" s="27" t="inlineStr">
        <is>
          <t>Peruvian base, Scottish move: lamb rather than beef heart, with muna standing in for rosemary in the marinade. Grilled to order on the plancha.</t>
        </is>
      </c>
      <c r="G134" s="27" t="inlineStr">
        <is>
          <t>Live station</t>
        </is>
      </c>
      <c r="H134" s="27" t="inlineStr">
        <is>
          <t>No</t>
        </is>
      </c>
      <c r="I134" s="27" t="inlineStr">
        <is>
          <t>No</t>
        </is>
      </c>
      <c r="J134" s="27" t="inlineStr">
        <is>
          <t>Cordero, muna, aji panca, papa nativa</t>
        </is>
      </c>
      <c r="K134" s="27" t="inlineStr">
        <is>
          <t>Artisanal butcher; Surquillo N.1</t>
        </is>
      </c>
      <c r="L134" s="28" t="n">
        <v>9</v>
      </c>
      <c r="M134" s="29" t="n">
        <v>32</v>
      </c>
      <c r="N134" s="30">
        <f>IFERROR(L134/M134,"")</f>
        <v/>
      </c>
      <c r="O134" s="31" t="inlineStr">
        <is>
          <t>No - estimate</t>
        </is>
      </c>
      <c r="P134" s="31">
        <f>IF(N134="","",IF(N134&gt;0.32,"Reprice or resource",IF(N134&lt;0.2,"Check cost is realistic","OK")))</f>
        <v/>
      </c>
    </row>
    <row r="135">
      <c r="A135" s="27" t="n">
        <v>134</v>
      </c>
      <c r="B135" s="27" t="inlineStr">
        <is>
          <t>Ceviche de Corvina y Eneldo</t>
        </is>
      </c>
      <c r="C135" s="27" t="inlineStr">
        <is>
          <t>Ceviche</t>
        </is>
      </c>
      <c r="D135" s="27" t="inlineStr">
        <is>
          <t>Peruvian</t>
        </is>
      </c>
      <c r="E135" s="27" t="inlineStr">
        <is>
          <t>Main</t>
        </is>
      </c>
      <c r="F135" s="27" t="inlineStr">
        <is>
          <t>Peruvian base, Nordic move: dill and cucumber go into the leche de tigre. The cure is Peruvian, the aromatics are Scandinavian, and the fish is local either way.</t>
        </is>
      </c>
      <c r="G135" s="27" t="inlineStr">
        <is>
          <t>Plated</t>
        </is>
      </c>
      <c r="H135" s="27" t="inlineStr">
        <is>
          <t>No</t>
        </is>
      </c>
      <c r="I135" s="27" t="inlineStr">
        <is>
          <t>No</t>
        </is>
      </c>
      <c r="J135" s="27" t="inlineStr">
        <is>
          <t>Corvina, limon, eneldo, pepino, aji limo</t>
        </is>
      </c>
      <c r="K135" s="27" t="inlineStr">
        <is>
          <t>Terminal Pesquero VMT</t>
        </is>
      </c>
      <c r="L135" s="28" t="n">
        <v>12</v>
      </c>
      <c r="M135" s="29" t="n">
        <v>42</v>
      </c>
      <c r="N135" s="30">
        <f>IFERROR(L135/M135,"")</f>
        <v/>
      </c>
      <c r="O135" s="31" t="inlineStr">
        <is>
          <t>No - estimate</t>
        </is>
      </c>
      <c r="P135" s="31">
        <f>IF(N135="","",IF(N135&gt;0.32,"Reprice or resource",IF(N135&lt;0.2,"Check cost is realistic","OK")))</f>
        <v/>
      </c>
    </row>
    <row r="136">
      <c r="A136" s="27" t="n">
        <v>135</v>
      </c>
      <c r="B136" s="27" t="inlineStr">
        <is>
          <t>Tiradito de Trucha, Whisky</t>
        </is>
      </c>
      <c r="C136" s="27" t="inlineStr">
        <is>
          <t>Tiradito</t>
        </is>
      </c>
      <c r="D136" s="27" t="inlineStr">
        <is>
          <t>Peruvian</t>
        </is>
      </c>
      <c r="E136" s="27" t="inlineStr">
        <is>
          <t>Canape</t>
        </is>
      </c>
      <c r="F136" s="27" t="inlineStr">
        <is>
          <t>Peruvian base, Scottish move: trout sliced tiradito-style, brushed with a whisky and aji amarillo cream. The peat and the aji sit together better than either does alone.</t>
        </is>
      </c>
      <c r="G136" s="27" t="inlineStr">
        <is>
          <t>Plated</t>
        </is>
      </c>
      <c r="H136" s="27" t="inlineStr">
        <is>
          <t>Yes</t>
        </is>
      </c>
      <c r="I136" s="27" t="inlineStr">
        <is>
          <t>No</t>
        </is>
      </c>
      <c r="J136" s="27" t="inlineStr">
        <is>
          <t>Trucha, aji amarillo, limon, whisky</t>
        </is>
      </c>
      <c r="K136" s="27" t="inlineStr">
        <is>
          <t>Terminal Pesquero VMT; Surquillo N.1</t>
        </is>
      </c>
      <c r="L136" s="28" t="n">
        <v>6</v>
      </c>
      <c r="M136" s="29" t="n">
        <v>22</v>
      </c>
      <c r="N136" s="30">
        <f>IFERROR(L136/M136,"")</f>
        <v/>
      </c>
      <c r="O136" s="31" t="inlineStr">
        <is>
          <t>No - estimate</t>
        </is>
      </c>
      <c r="P136" s="31">
        <f>IF(N136="","",IF(N136&gt;0.32,"Reprice or resource",IF(N136&lt;0.2,"Check cost is realistic","OK")))</f>
        <v/>
      </c>
    </row>
    <row r="137">
      <c r="A137" s="27" t="n">
        <v>136</v>
      </c>
      <c r="B137" s="27" t="inlineStr">
        <is>
          <t>Lomo Saltado, Dripping Chips</t>
        </is>
      </c>
      <c r="C137" s="27" t="inlineStr">
        <is>
          <t>Lomo saltado</t>
        </is>
      </c>
      <c r="D137" s="27" t="inlineStr">
        <is>
          <t>Peruvian</t>
        </is>
      </c>
      <c r="E137" s="27" t="inlineStr">
        <is>
          <t>Main</t>
        </is>
      </c>
      <c r="F137" s="27" t="inlineStr">
        <is>
          <t>Peruvian base, Scottish move: the chips are cut thick and fried in beef dripping like a chip shop, then tossed through the wok at the last second.</t>
        </is>
      </c>
      <c r="G137" s="27" t="inlineStr">
        <is>
          <t>Live station</t>
        </is>
      </c>
      <c r="H137" s="27" t="inlineStr">
        <is>
          <t>No</t>
        </is>
      </c>
      <c r="I137" s="27" t="inlineStr">
        <is>
          <t>No</t>
        </is>
      </c>
      <c r="J137" s="27" t="inlineStr">
        <is>
          <t>Lomo, papa nativa, cebolla, aji amarillo, sillao</t>
        </is>
      </c>
      <c r="K137" s="27" t="inlineStr">
        <is>
          <t>Makro; Surquillo N.1</t>
        </is>
      </c>
      <c r="L137" s="28" t="n">
        <v>10.5</v>
      </c>
      <c r="M137" s="29" t="n">
        <v>38</v>
      </c>
      <c r="N137" s="30">
        <f>IFERROR(L137/M137,"")</f>
        <v/>
      </c>
      <c r="O137" s="31" t="inlineStr">
        <is>
          <t>No - estimate</t>
        </is>
      </c>
      <c r="P137" s="31">
        <f>IF(N137="","",IF(N137&gt;0.32,"Reprice or resource",IF(N137&lt;0.2,"Check cost is realistic","OK")))</f>
        <v/>
      </c>
    </row>
    <row r="138">
      <c r="A138" s="27" t="n">
        <v>137</v>
      </c>
      <c r="B138" s="27" t="inlineStr">
        <is>
          <t>Aji de Gallina, Cheddar Crumb</t>
        </is>
      </c>
      <c r="C138" s="27" t="inlineStr">
        <is>
          <t>Aji de gallina</t>
        </is>
      </c>
      <c r="D138" s="27" t="inlineStr">
        <is>
          <t>Peruvian</t>
        </is>
      </c>
      <c r="E138" s="27" t="inlineStr">
        <is>
          <t>Main</t>
        </is>
      </c>
      <c r="F138" s="27" t="inlineStr">
        <is>
          <t>Peruvian base, Scottish move: the classic sauce goes into a dish and is finished under an oat and mature cheddar crumb. Bakes ahead and holds where the original does not.</t>
        </is>
      </c>
      <c r="G138" s="27" t="inlineStr">
        <is>
          <t>Buffet</t>
        </is>
      </c>
      <c r="H138" s="27" t="inlineStr">
        <is>
          <t>No</t>
        </is>
      </c>
      <c r="I138" s="27" t="inlineStr">
        <is>
          <t>No</t>
        </is>
      </c>
      <c r="J138" s="27" t="inlineStr">
        <is>
          <t>Pollo, aji amarillo, pan, avena, queso</t>
        </is>
      </c>
      <c r="K138" s="27" t="inlineStr">
        <is>
          <t>Makro; Surquillo N.1</t>
        </is>
      </c>
      <c r="L138" s="28" t="n">
        <v>7</v>
      </c>
      <c r="M138" s="29" t="n">
        <v>26</v>
      </c>
      <c r="N138" s="30">
        <f>IFERROR(L138/M138,"")</f>
        <v/>
      </c>
      <c r="O138" s="31" t="inlineStr">
        <is>
          <t>No - estimate</t>
        </is>
      </c>
      <c r="P138" s="31">
        <f>IF(N138="","",IF(N138&gt;0.32,"Reprice or resource",IF(N138&lt;0.2,"Check cost is realistic","OK")))</f>
        <v/>
      </c>
    </row>
    <row r="139">
      <c r="A139" s="27" t="n">
        <v>138</v>
      </c>
      <c r="B139" s="27" t="inlineStr">
        <is>
          <t>Huancaina de Paria y Pimienta</t>
        </is>
      </c>
      <c r="C139" s="27" t="inlineStr">
        <is>
          <t>Papa a la huancaina</t>
        </is>
      </c>
      <c r="D139" s="27" t="inlineStr">
        <is>
          <t>Peruvian</t>
        </is>
      </c>
      <c r="E139" s="27" t="inlineStr">
        <is>
          <t>Side</t>
        </is>
      </c>
      <c r="F139" s="27" t="inlineStr">
        <is>
          <t>Peruvian base, Basque move: smoked queso paria replaces the queso fresco and the sauce gets cracked black pepper. Same plate, deeper flavour, no import cost.</t>
        </is>
      </c>
      <c r="G139" s="27" t="inlineStr">
        <is>
          <t>Drop-off</t>
        </is>
      </c>
      <c r="H139" s="27" t="inlineStr">
        <is>
          <t>No</t>
        </is>
      </c>
      <c r="I139" s="27" t="inlineStr">
        <is>
          <t>Yes</t>
        </is>
      </c>
      <c r="J139" s="27" t="inlineStr">
        <is>
          <t>Papa amarilla, aji amarillo, queso paria, pimienta</t>
        </is>
      </c>
      <c r="K139" s="27" t="inlineStr">
        <is>
          <t>Surquillo N.1</t>
        </is>
      </c>
      <c r="L139" s="28" t="n">
        <v>3.2</v>
      </c>
      <c r="M139" s="29" t="n">
        <v>12</v>
      </c>
      <c r="N139" s="30">
        <f>IFERROR(L139/M139,"")</f>
        <v/>
      </c>
      <c r="O139" s="31" t="inlineStr">
        <is>
          <t>No - estimate</t>
        </is>
      </c>
      <c r="P139" s="31">
        <f>IF(N139="","",IF(N139&gt;0.32,"Reprice or resource",IF(N139&lt;0.2,"Check cost is realistic","OK")))</f>
        <v/>
      </c>
    </row>
    <row r="140">
      <c r="A140" s="27" t="n">
        <v>139</v>
      </c>
      <c r="B140" s="27" t="inlineStr">
        <is>
          <t>Rocoto Relleno, Morcilla</t>
        </is>
      </c>
      <c r="C140" s="27" t="inlineStr">
        <is>
          <t>Rocoto relleno</t>
        </is>
      </c>
      <c r="D140" s="27" t="inlineStr">
        <is>
          <t>Peruvian</t>
        </is>
      </c>
      <c r="E140" s="27" t="inlineStr">
        <is>
          <t>Main</t>
        </is>
      </c>
      <c r="F140" s="27" t="inlineStr">
        <is>
          <t>Peruvian base, Scottish move: black pudding goes into the stuffing with the beef, and oats bind it. Arequipa and Stornoway turn out to want the same things.</t>
        </is>
      </c>
      <c r="G140" s="27" t="inlineStr">
        <is>
          <t>Buffet</t>
        </is>
      </c>
      <c r="H140" s="27" t="inlineStr">
        <is>
          <t>No</t>
        </is>
      </c>
      <c r="I140" s="27" t="inlineStr">
        <is>
          <t>No</t>
        </is>
      </c>
      <c r="J140" s="27" t="inlineStr">
        <is>
          <t>Rocoto, morcilla, carne, queso, avena</t>
        </is>
      </c>
      <c r="K140" s="27" t="inlineStr">
        <is>
          <t>Surquillo N.1; artisanal butcher</t>
        </is>
      </c>
      <c r="L140" s="28" t="n">
        <v>8</v>
      </c>
      <c r="M140" s="29" t="n">
        <v>30</v>
      </c>
      <c r="N140" s="30">
        <f>IFERROR(L140/M140,"")</f>
        <v/>
      </c>
      <c r="O140" s="31" t="inlineStr">
        <is>
          <t>No - estimate</t>
        </is>
      </c>
      <c r="P140" s="31">
        <f>IF(N140="","",IF(N140&gt;0.32,"Reprice or resource",IF(N140&lt;0.2,"Check cost is realistic","OK")))</f>
        <v/>
      </c>
    </row>
    <row r="141">
      <c r="A141" s="27" t="n">
        <v>140</v>
      </c>
      <c r="B141" s="27" t="inlineStr">
        <is>
          <t>Ocopa de Ajo Silvestre</t>
        </is>
      </c>
      <c r="C141" s="27" t="inlineStr">
        <is>
          <t>Ocopa</t>
        </is>
      </c>
      <c r="D141" s="27" t="inlineStr">
        <is>
          <t>Peruvian</t>
        </is>
      </c>
      <c r="E141" s="27" t="inlineStr">
        <is>
          <t>Side</t>
        </is>
      </c>
      <c r="F141" s="27" t="inlineStr">
        <is>
          <t>Peruvian base, Scottish move: wild garlic leaf in place of some of the huacatay when it is in season. Nuttier, greener, and it cuts the cost of the sauce.</t>
        </is>
      </c>
      <c r="G141" s="27" t="inlineStr">
        <is>
          <t>Drop-off</t>
        </is>
      </c>
      <c r="H141" s="27" t="inlineStr">
        <is>
          <t>No</t>
        </is>
      </c>
      <c r="I141" s="27" t="inlineStr">
        <is>
          <t>Yes</t>
        </is>
      </c>
      <c r="J141" s="27" t="inlineStr">
        <is>
          <t>Papa nativa, huacatay, pecanas, queso</t>
        </is>
      </c>
      <c r="K141" s="27" t="inlineStr">
        <is>
          <t>Surquillo N.1</t>
        </is>
      </c>
      <c r="L141" s="28" t="n">
        <v>3.2</v>
      </c>
      <c r="M141" s="29" t="n">
        <v>12</v>
      </c>
      <c r="N141" s="30">
        <f>IFERROR(L141/M141,"")</f>
        <v/>
      </c>
      <c r="O141" s="31" t="inlineStr">
        <is>
          <t>No - estimate</t>
        </is>
      </c>
      <c r="P141" s="31">
        <f>IF(N141="","",IF(N141&gt;0.32,"Reprice or resource",IF(N141&lt;0.2,"Check cost is realistic","OK")))</f>
        <v/>
      </c>
    </row>
    <row r="142">
      <c r="A142" s="27" t="n">
        <v>141</v>
      </c>
      <c r="B142" s="27" t="inlineStr">
        <is>
          <t>Pastel de Choclo, Cordero y Avena</t>
        </is>
      </c>
      <c r="C142" s="27" t="inlineStr">
        <is>
          <t>Pastel de choclo</t>
        </is>
      </c>
      <c r="D142" s="27" t="inlineStr">
        <is>
          <t>Peruvian</t>
        </is>
      </c>
      <c r="E142" s="27" t="inlineStr">
        <is>
          <t>Main</t>
        </is>
      </c>
      <c r="F142" s="27" t="inlineStr">
        <is>
          <t>Peruvian base, Scottish move: the mince beneath the choclo is built like a shepherds pie, oats and all. The sweet corn lid does the job mashed potato does at home.</t>
        </is>
      </c>
      <c r="G142" s="27" t="inlineStr">
        <is>
          <t>Buffet</t>
        </is>
      </c>
      <c r="H142" s="27" t="inlineStr">
        <is>
          <t>No</t>
        </is>
      </c>
      <c r="I142" s="27" t="inlineStr">
        <is>
          <t>No</t>
        </is>
      </c>
      <c r="J142" s="27" t="inlineStr">
        <is>
          <t>Choclo, cordero, cebolla, avena, aceituna</t>
        </is>
      </c>
      <c r="K142" s="27" t="inlineStr">
        <is>
          <t>Surquillo N.1; artisanal butcher</t>
        </is>
      </c>
      <c r="L142" s="28" t="n">
        <v>7.5</v>
      </c>
      <c r="M142" s="29" t="n">
        <v>28</v>
      </c>
      <c r="N142" s="30">
        <f>IFERROR(L142/M142,"")</f>
        <v/>
      </c>
      <c r="O142" s="31" t="inlineStr">
        <is>
          <t>No - estimate</t>
        </is>
      </c>
      <c r="P142" s="31">
        <f>IF(N142="","",IF(N142&gt;0.32,"Reprice or resource",IF(N142&lt;0.2,"Check cost is realistic","OK")))</f>
        <v/>
      </c>
    </row>
    <row r="143">
      <c r="A143" s="27" t="n">
        <v>142</v>
      </c>
      <c r="B143" s="27" t="inlineStr">
        <is>
          <t>Empanada de Aji de Gallina y Puerro</t>
        </is>
      </c>
      <c r="C143" s="27" t="inlineStr">
        <is>
          <t>Empanada</t>
        </is>
      </c>
      <c r="D143" s="27" t="inlineStr">
        <is>
          <t>Peruvian</t>
        </is>
      </c>
      <c r="E143" s="27" t="inlineStr">
        <is>
          <t>Canape</t>
        </is>
      </c>
      <c r="F143" s="27" t="inlineStr">
        <is>
          <t>Peruvian base, Scottish move: leeks go into the aji de gallina filling. Cheap, sweet, and it stretches the chicken by a third.</t>
        </is>
      </c>
      <c r="G143" s="27" t="inlineStr">
        <is>
          <t>Drop-off</t>
        </is>
      </c>
      <c r="H143" s="27" t="inlineStr">
        <is>
          <t>No</t>
        </is>
      </c>
      <c r="I143" s="27" t="inlineStr">
        <is>
          <t>No</t>
        </is>
      </c>
      <c r="J143" s="27" t="inlineStr">
        <is>
          <t>Pollo, aji amarillo, puerro, harina</t>
        </is>
      </c>
      <c r="K143" s="27" t="inlineStr">
        <is>
          <t>Makro; Surquillo N.1</t>
        </is>
      </c>
      <c r="L143" s="28" t="n">
        <v>2.6</v>
      </c>
      <c r="M143" s="29" t="n">
        <v>10</v>
      </c>
      <c r="N143" s="30">
        <f>IFERROR(L143/M143,"")</f>
        <v/>
      </c>
      <c r="O143" s="31" t="inlineStr">
        <is>
          <t>No - estimate</t>
        </is>
      </c>
      <c r="P143" s="31">
        <f>IF(N143="","",IF(N143&gt;0.32,"Reprice or resource",IF(N143&lt;0.2,"Check cost is realistic","OK")))</f>
        <v/>
      </c>
    </row>
    <row r="144">
      <c r="A144" s="27" t="n">
        <v>143</v>
      </c>
      <c r="B144" s="27" t="inlineStr">
        <is>
          <t>Chupe de Corvina Ahumada</t>
        </is>
      </c>
      <c r="C144" s="27" t="inlineStr">
        <is>
          <t>Chupe de camarones</t>
        </is>
      </c>
      <c r="D144" s="27" t="inlineStr">
        <is>
          <t>Peruvian</t>
        </is>
      </c>
      <c r="E144" s="27" t="inlineStr">
        <is>
          <t>Main</t>
        </is>
      </c>
      <c r="F144" s="27" t="inlineStr">
        <is>
          <t>Peruvian base, Scottish move: built as a Cullen skink - smoked corvina instead of langostinos, so it can be sold through the veda when prawns are illegal.</t>
        </is>
      </c>
      <c r="G144" s="27" t="inlineStr">
        <is>
          <t>Buffet</t>
        </is>
      </c>
      <c r="H144" s="27" t="inlineStr">
        <is>
          <t>No</t>
        </is>
      </c>
      <c r="I144" s="27" t="inlineStr">
        <is>
          <t>No</t>
        </is>
      </c>
      <c r="J144" s="27" t="inlineStr">
        <is>
          <t>Corvina ahumada, papa nativa, choclo, leche, huacatay</t>
        </is>
      </c>
      <c r="K144" s="27" t="inlineStr">
        <is>
          <t>Terminal Pesquero VMT; Surquillo N.1</t>
        </is>
      </c>
      <c r="L144" s="28" t="n">
        <v>11.5</v>
      </c>
      <c r="M144" s="29" t="n">
        <v>40</v>
      </c>
      <c r="N144" s="30">
        <f>IFERROR(L144/M144,"")</f>
        <v/>
      </c>
      <c r="O144" s="31" t="inlineStr">
        <is>
          <t>No - estimate</t>
        </is>
      </c>
      <c r="P144" s="31">
        <f>IF(N144="","",IF(N144&gt;0.32,"Reprice or resource",IF(N144&lt;0.2,"Check cost is realistic","OK")))</f>
        <v/>
      </c>
    </row>
    <row r="145">
      <c r="A145" s="27" t="n">
        <v>144</v>
      </c>
      <c r="B145" s="27" t="inlineStr">
        <is>
          <t>Arroz con Pato, Stout</t>
        </is>
      </c>
      <c r="C145" s="27" t="inlineStr">
        <is>
          <t>Arroz con pato</t>
        </is>
      </c>
      <c r="D145" s="27" t="inlineStr">
        <is>
          <t>Peruvian</t>
        </is>
      </c>
      <c r="E145" s="27" t="inlineStr">
        <is>
          <t>Main</t>
        </is>
      </c>
      <c r="F145" s="27" t="inlineStr">
        <is>
          <t>Peruvian base, Scottish move: stout replaces the chicha de jora in the rice. Darker, maltier, and available in any Lima supermarket year round.</t>
        </is>
      </c>
      <c r="G145" s="27" t="inlineStr">
        <is>
          <t>Buffet</t>
        </is>
      </c>
      <c r="H145" s="27" t="inlineStr">
        <is>
          <t>Yes</t>
        </is>
      </c>
      <c r="I145" s="27" t="inlineStr">
        <is>
          <t>No</t>
        </is>
      </c>
      <c r="J145" s="27" t="inlineStr">
        <is>
          <t>Pato, arroz, culantro, cerveza negra, choclo</t>
        </is>
      </c>
      <c r="K145" s="27" t="inlineStr">
        <is>
          <t>Oregon Foods; Makro</t>
        </is>
      </c>
      <c r="L145" s="28" t="n">
        <v>11.5</v>
      </c>
      <c r="M145" s="29" t="n">
        <v>42</v>
      </c>
      <c r="N145" s="30">
        <f>IFERROR(L145/M145,"")</f>
        <v/>
      </c>
      <c r="O145" s="31" t="inlineStr">
        <is>
          <t>No - estimate</t>
        </is>
      </c>
      <c r="P145" s="31">
        <f>IF(N145="","",IF(N145&gt;0.32,"Reprice or resource",IF(N145&lt;0.2,"Check cost is realistic","OK")))</f>
        <v/>
      </c>
    </row>
    <row r="146">
      <c r="A146" s="27" t="n">
        <v>145</v>
      </c>
      <c r="B146" s="27" t="inlineStr">
        <is>
          <t>Butifarra Escocesa</t>
        </is>
      </c>
      <c r="C146" s="27" t="inlineStr">
        <is>
          <t>Butifarra</t>
        </is>
      </c>
      <c r="D146" s="27" t="inlineStr">
        <is>
          <t>Peruvian</t>
        </is>
      </c>
      <c r="E146" s="27" t="inlineStr">
        <is>
          <t>Canape</t>
        </is>
      </c>
      <c r="F146" s="27" t="inlineStr">
        <is>
          <t>Peruvian base, Scottish move: the jamon del pais goes into a morning roll instead of a pan frances, with salsa criolla and a scrape of mustard.</t>
        </is>
      </c>
      <c r="G146" s="27" t="inlineStr">
        <is>
          <t>Drop-off</t>
        </is>
      </c>
      <c r="H146" s="27" t="inlineStr">
        <is>
          <t>No</t>
        </is>
      </c>
      <c r="I146" s="27" t="inlineStr">
        <is>
          <t>No</t>
        </is>
      </c>
      <c r="J146" s="27" t="inlineStr">
        <is>
          <t>Jamon del pais, cebolla, limon, aji</t>
        </is>
      </c>
      <c r="K146" s="27" t="inlineStr">
        <is>
          <t>Artisanal butcher; Surquillo N.1</t>
        </is>
      </c>
      <c r="L146" s="28" t="n">
        <v>2.9</v>
      </c>
      <c r="M146" s="29" t="n">
        <v>11</v>
      </c>
      <c r="N146" s="30">
        <f>IFERROR(L146/M146,"")</f>
        <v/>
      </c>
      <c r="O146" s="31" t="inlineStr">
        <is>
          <t>No - estimate</t>
        </is>
      </c>
      <c r="P146" s="31">
        <f>IF(N146="","",IF(N146&gt;0.32,"Reprice or resource",IF(N146&lt;0.2,"Check cost is realistic","OK")))</f>
        <v/>
      </c>
    </row>
    <row r="147">
      <c r="A147" s="27" t="n">
        <v>146</v>
      </c>
      <c r="B147" s="27" t="inlineStr">
        <is>
          <t>Suspiro Limeno, Whisky</t>
        </is>
      </c>
      <c r="C147" s="27" t="inlineStr">
        <is>
          <t>Suspiro limeno</t>
        </is>
      </c>
      <c r="D147" s="27" t="inlineStr">
        <is>
          <t>Peruvian</t>
        </is>
      </c>
      <c r="E147" s="27" t="inlineStr">
        <is>
          <t>Dessert</t>
        </is>
      </c>
      <c r="F147" s="27" t="inlineStr">
        <is>
          <t>Peruvian base, Scottish move: whisky in the meringue rather than port. The manjar blanco underneath is untouched - it does not need help.</t>
        </is>
      </c>
      <c r="G147" s="27" t="inlineStr">
        <is>
          <t>Drop-off</t>
        </is>
      </c>
      <c r="H147" s="27" t="inlineStr">
        <is>
          <t>Yes</t>
        </is>
      </c>
      <c r="I147" s="27" t="inlineStr">
        <is>
          <t>Yes</t>
        </is>
      </c>
      <c r="J147" s="27" t="inlineStr">
        <is>
          <t>Manjar blanco, huevo, whisky, canela</t>
        </is>
      </c>
      <c r="K147" s="27" t="inlineStr">
        <is>
          <t>Makro</t>
        </is>
      </c>
      <c r="L147" s="28" t="n">
        <v>4</v>
      </c>
      <c r="M147" s="29" t="n">
        <v>15</v>
      </c>
      <c r="N147" s="30">
        <f>IFERROR(L147/M147,"")</f>
        <v/>
      </c>
      <c r="O147" s="31" t="inlineStr">
        <is>
          <t>No - estimate</t>
        </is>
      </c>
      <c r="P147" s="31">
        <f>IF(N147="","",IF(N147&gt;0.32,"Reprice or resource",IF(N147&lt;0.2,"Check cost is realistic","OK")))</f>
        <v/>
      </c>
    </row>
    <row r="148">
      <c r="A148" s="27" t="n">
        <v>147</v>
      </c>
      <c r="B148" s="27" t="inlineStr">
        <is>
          <t>Picarones, Marmalade Syrup</t>
        </is>
      </c>
      <c r="C148" s="27" t="inlineStr">
        <is>
          <t>Picarones</t>
        </is>
      </c>
      <c r="D148" s="27" t="inlineStr">
        <is>
          <t>Peruvian</t>
        </is>
      </c>
      <c r="E148" s="27" t="inlineStr">
        <is>
          <t>Dessert</t>
        </is>
      </c>
      <c r="F148" s="27" t="inlineStr">
        <is>
          <t>Peruvian base, Scottish move: Seville-style bitter marmalade cut into the chancaca syrup. The bitterness is what the original syrup is missing.</t>
        </is>
      </c>
      <c r="G148" s="27" t="inlineStr">
        <is>
          <t>Live station</t>
        </is>
      </c>
      <c r="H148" s="27" t="inlineStr">
        <is>
          <t>No</t>
        </is>
      </c>
      <c r="I148" s="27" t="inlineStr">
        <is>
          <t>Yes</t>
        </is>
      </c>
      <c r="J148" s="27" t="inlineStr">
        <is>
          <t>Camote, zapallo, chancaca, naranja</t>
        </is>
      </c>
      <c r="K148" s="27" t="inlineStr">
        <is>
          <t>Surquillo N.1</t>
        </is>
      </c>
      <c r="L148" s="28" t="n">
        <v>2.6</v>
      </c>
      <c r="M148" s="29" t="n">
        <v>10</v>
      </c>
      <c r="N148" s="30">
        <f>IFERROR(L148/M148,"")</f>
        <v/>
      </c>
      <c r="O148" s="31" t="inlineStr">
        <is>
          <t>No - estimate</t>
        </is>
      </c>
      <c r="P148" s="31">
        <f>IF(N148="","",IF(N148&gt;0.32,"Reprice or resource",IF(N148&lt;0.2,"Check cost is realistic","OK")))</f>
        <v/>
      </c>
    </row>
    <row r="149">
      <c r="A149" s="27" t="n">
        <v>148</v>
      </c>
      <c r="B149" s="27" t="inlineStr">
        <is>
          <t>Alfajores de Lucuma y Mantequilla</t>
        </is>
      </c>
      <c r="C149" s="27" t="inlineStr">
        <is>
          <t>Alfajor</t>
        </is>
      </c>
      <c r="D149" s="27" t="inlineStr">
        <is>
          <t>Peruvian</t>
        </is>
      </c>
      <c r="E149" s="27" t="inlineStr">
        <is>
          <t>Bakery</t>
        </is>
      </c>
      <c r="F149" s="27" t="inlineStr">
        <is>
          <t>Peruvian base, Scottish move: the biscuit is made to shortbread proportions and the manjar is cut with lucuma. Firmer, less sweet, better in a box.</t>
        </is>
      </c>
      <c r="G149" s="27" t="inlineStr">
        <is>
          <t>Drop-off</t>
        </is>
      </c>
      <c r="H149" s="27" t="inlineStr">
        <is>
          <t>No</t>
        </is>
      </c>
      <c r="I149" s="27" t="inlineStr">
        <is>
          <t>Yes</t>
        </is>
      </c>
      <c r="J149" s="27" t="inlineStr">
        <is>
          <t>Harina, mantequilla, manjar blanco, lucuma</t>
        </is>
      </c>
      <c r="K149" s="27" t="inlineStr">
        <is>
          <t>Makro; Surquillo N.1</t>
        </is>
      </c>
      <c r="L149" s="28" t="n">
        <v>2.1</v>
      </c>
      <c r="M149" s="29" t="n">
        <v>8</v>
      </c>
      <c r="N149" s="30">
        <f>IFERROR(L149/M149,"")</f>
        <v/>
      </c>
      <c r="O149" s="31" t="inlineStr">
        <is>
          <t>No - estimate</t>
        </is>
      </c>
      <c r="P149" s="31">
        <f>IF(N149="","",IF(N149&gt;0.32,"Reprice or resource",IF(N149&lt;0.2,"Check cost is realistic","OK")))</f>
        <v/>
      </c>
    </row>
    <row r="150">
      <c r="A150" s="27" t="n">
        <v>149</v>
      </c>
      <c r="B150" s="27" t="inlineStr">
        <is>
          <t>Turron de Dona Pepa, Avena</t>
        </is>
      </c>
      <c r="C150" s="27" t="inlineStr">
        <is>
          <t>Turron de Dona Pepa</t>
        </is>
      </c>
      <c r="D150" s="27" t="inlineStr">
        <is>
          <t>Peruvian</t>
        </is>
      </c>
      <c r="E150" s="27" t="inlineStr">
        <is>
          <t>Bakery</t>
        </is>
      </c>
      <c r="F150" s="27" t="inlineStr">
        <is>
          <t>Peruvian base, Scottish move: oats in the dough sticks and the chancaca syrup spiced like parkin. An October product that sells to both calendars at once.</t>
        </is>
      </c>
      <c r="G150" s="27" t="inlineStr">
        <is>
          <t>Drop-off</t>
        </is>
      </c>
      <c r="H150" s="27" t="inlineStr">
        <is>
          <t>No</t>
        </is>
      </c>
      <c r="I150" s="27" t="inlineStr">
        <is>
          <t>Yes</t>
        </is>
      </c>
      <c r="J150" s="27" t="inlineStr">
        <is>
          <t>Harina, avena, chancaca, anis, jengibre</t>
        </is>
      </c>
      <c r="K150" s="27" t="inlineStr">
        <is>
          <t>Makro; Surquillo N.1</t>
        </is>
      </c>
      <c r="L150" s="28" t="n">
        <v>2.4</v>
      </c>
      <c r="M150" s="29" t="n">
        <v>9</v>
      </c>
      <c r="N150" s="30">
        <f>IFERROR(L150/M150,"")</f>
        <v/>
      </c>
      <c r="O150" s="31" t="inlineStr">
        <is>
          <t>No - estimate</t>
        </is>
      </c>
      <c r="P150" s="31">
        <f>IF(N150="","",IF(N150&gt;0.32,"Reprice or resource",IF(N150&lt;0.2,"Check cost is realistic","OK")))</f>
        <v/>
      </c>
    </row>
    <row r="151">
      <c r="A151" s="27" t="n">
        <v>150</v>
      </c>
      <c r="B151" s="27" t="inlineStr">
        <is>
          <t>Chicha Morada Trifle</t>
        </is>
      </c>
      <c r="C151" s="27" t="inlineStr">
        <is>
          <t>Chicha morada</t>
        </is>
      </c>
      <c r="D151" s="27" t="inlineStr">
        <is>
          <t>Peruvian</t>
        </is>
      </c>
      <c r="E151" s="27" t="inlineStr">
        <is>
          <t>Dessert</t>
        </is>
      </c>
      <c r="F151" s="27" t="inlineStr">
        <is>
          <t>Peruvian base, English move: chicha morada set as a jelly over sponge, under cream and toasted oatmeal. Purple the whole way down.</t>
        </is>
      </c>
      <c r="G151" s="27" t="inlineStr">
        <is>
          <t>Buffet</t>
        </is>
      </c>
      <c r="H151" s="27" t="inlineStr">
        <is>
          <t>No</t>
        </is>
      </c>
      <c r="I151" s="27" t="inlineStr">
        <is>
          <t>Yes</t>
        </is>
      </c>
      <c r="J151" s="27" t="inlineStr">
        <is>
          <t>Maiz morado, pina, membrillo, crema, avena</t>
        </is>
      </c>
      <c r="K151" s="27" t="inlineStr">
        <is>
          <t>Surquillo N.1; Makro</t>
        </is>
      </c>
      <c r="L151" s="28" t="n">
        <v>3.4</v>
      </c>
      <c r="M151" s="29" t="n">
        <v>13</v>
      </c>
      <c r="N151" s="30">
        <f>IFERROR(L151/M151,"")</f>
        <v/>
      </c>
      <c r="O151" s="31" t="inlineStr">
        <is>
          <t>No - estimate</t>
        </is>
      </c>
      <c r="P151" s="31">
        <f>IF(N151="","",IF(N151&gt;0.32,"Reprice or resource",IF(N151&lt;0.2,"Check cost is realistic","OK")))</f>
        <v/>
      </c>
    </row>
    <row r="152">
      <c r="A152" s="27" t="n">
        <v>151</v>
      </c>
      <c r="B152" s="27" t="inlineStr">
        <is>
          <t>Torta Tres Leches, Whisky</t>
        </is>
      </c>
      <c r="C152" s="27" t="inlineStr">
        <is>
          <t>Tres leches</t>
        </is>
      </c>
      <c r="D152" s="27" t="inlineStr">
        <is>
          <t>Peruvian</t>
        </is>
      </c>
      <c r="E152" s="27" t="inlineStr">
        <is>
          <t>Dessert</t>
        </is>
      </c>
      <c r="F152" s="27" t="inlineStr">
        <is>
          <t>Peruvian base, Scottish move: whisky in the three-milk soak and a burnt-sugar top. Assembles a day ahead and cuts to any headcount.</t>
        </is>
      </c>
      <c r="G152" s="27" t="inlineStr">
        <is>
          <t>Buffet</t>
        </is>
      </c>
      <c r="H152" s="27" t="inlineStr">
        <is>
          <t>Yes</t>
        </is>
      </c>
      <c r="I152" s="27" t="inlineStr">
        <is>
          <t>Yes</t>
        </is>
      </c>
      <c r="J152" s="27" t="inlineStr">
        <is>
          <t>Leche evaporada, leche condensada, crema, whisky</t>
        </is>
      </c>
      <c r="K152" s="27" t="inlineStr">
        <is>
          <t>Makro</t>
        </is>
      </c>
      <c r="L152" s="28" t="n">
        <v>4.6</v>
      </c>
      <c r="M152" s="29" t="n">
        <v>17</v>
      </c>
      <c r="N152" s="30">
        <f>IFERROR(L152/M152,"")</f>
        <v/>
      </c>
      <c r="O152" s="31" t="inlineStr">
        <is>
          <t>No - estimate</t>
        </is>
      </c>
      <c r="P152" s="31">
        <f>IF(N152="","",IF(N152&gt;0.32,"Reprice or resource",IF(N152&lt;0.2,"Check cost is realistic","OK")))</f>
        <v/>
      </c>
    </row>
    <row r="153">
      <c r="A153" s="27" t="n">
        <v>152</v>
      </c>
      <c r="B153" s="27" t="inlineStr">
        <is>
          <t>Lucuma Victoria Sponge</t>
        </is>
      </c>
      <c r="C153" s="27" t="inlineStr">
        <is>
          <t>Victoria sponge</t>
        </is>
      </c>
      <c r="D153" s="27" t="inlineStr">
        <is>
          <t>English</t>
        </is>
      </c>
      <c r="E153" s="27" t="inlineStr">
        <is>
          <t>Bakery</t>
        </is>
      </c>
      <c r="F153" s="27" t="inlineStr">
        <is>
          <t>The English tea cake with lucuma curd and cream in the middle instead of raspberry jam.</t>
        </is>
      </c>
      <c r="G153" s="27" t="inlineStr">
        <is>
          <t>Drop-off</t>
        </is>
      </c>
      <c r="H153" s="27" t="inlineStr">
        <is>
          <t>No</t>
        </is>
      </c>
      <c r="I153" s="27" t="inlineStr">
        <is>
          <t>Yes</t>
        </is>
      </c>
      <c r="J153" s="27" t="inlineStr">
        <is>
          <t>Harina, mantequilla, huevo, lucuma</t>
        </is>
      </c>
      <c r="K153" s="27" t="inlineStr">
        <is>
          <t>Makro; Surquillo N.1</t>
        </is>
      </c>
      <c r="L153" s="28" t="n">
        <v>4</v>
      </c>
      <c r="M153" s="29" t="n">
        <v>15</v>
      </c>
      <c r="N153" s="30">
        <f>IFERROR(L153/M153,"")</f>
        <v/>
      </c>
      <c r="O153" s="31" t="inlineStr">
        <is>
          <t>No - estimate</t>
        </is>
      </c>
      <c r="P153" s="31">
        <f>IF(N153="","",IF(N153&gt;0.32,"Reprice or resource",IF(N153&lt;0.2,"Check cost is realistic","OK")))</f>
        <v/>
      </c>
    </row>
    <row r="154">
      <c r="A154" s="27" t="n">
        <v>153</v>
      </c>
      <c r="B154" s="27" t="inlineStr">
        <is>
          <t>Cacao Celebration Cake</t>
        </is>
      </c>
      <c r="C154" s="27" t="inlineStr">
        <is>
          <t>Chocolate celebration cake</t>
        </is>
      </c>
      <c r="D154" s="27" t="inlineStr">
        <is>
          <t>Scottish</t>
        </is>
      </c>
      <c r="E154" s="27" t="inlineStr">
        <is>
          <t>Dessert</t>
        </is>
      </c>
      <c r="F154" s="27" t="inlineStr">
        <is>
          <t>Four layers of Peruvian 70% cacao sponge with chancaca buttercream. The birthday and wedding product.</t>
        </is>
      </c>
      <c r="G154" s="27" t="inlineStr">
        <is>
          <t>Buffet</t>
        </is>
      </c>
      <c r="H154" s="27" t="inlineStr">
        <is>
          <t>No</t>
        </is>
      </c>
      <c r="I154" s="27" t="inlineStr">
        <is>
          <t>Yes</t>
        </is>
      </c>
      <c r="J154" s="27" t="inlineStr">
        <is>
          <t>Cacao, harina, mantequilla, chancaca</t>
        </is>
      </c>
      <c r="K154" s="27" t="inlineStr">
        <is>
          <t>Cacao distributor; Makro</t>
        </is>
      </c>
      <c r="L154" s="28" t="n">
        <v>6.2</v>
      </c>
      <c r="M154" s="29" t="n">
        <v>23</v>
      </c>
      <c r="N154" s="30">
        <f>IFERROR(L154/M154,"")</f>
        <v/>
      </c>
      <c r="O154" s="31" t="inlineStr">
        <is>
          <t>No - estimate</t>
        </is>
      </c>
      <c r="P154" s="31">
        <f>IF(N154="","",IF(N154&gt;0.32,"Reprice or resource",IF(N154&lt;0.2,"Check cost is realistic","OK")))</f>
        <v/>
      </c>
    </row>
    <row r="155">
      <c r="A155" s="27" t="n">
        <v>154</v>
      </c>
      <c r="B155" s="27" t="inlineStr">
        <is>
          <t>Carrot &amp; Kiwicha Cake</t>
        </is>
      </c>
      <c r="C155" s="27" t="inlineStr">
        <is>
          <t>Carrot cake</t>
        </is>
      </c>
      <c r="D155" s="27" t="inlineStr">
        <is>
          <t>English</t>
        </is>
      </c>
      <c r="E155" s="27" t="inlineStr">
        <is>
          <t>Bakery</t>
        </is>
      </c>
      <c r="F155" s="27" t="inlineStr">
        <is>
          <t>Kiwicha in the batter for texture, queso fresco frosting in place of the usual cream cheese.</t>
        </is>
      </c>
      <c r="G155" s="27" t="inlineStr">
        <is>
          <t>Drop-off</t>
        </is>
      </c>
      <c r="H155" s="27" t="inlineStr">
        <is>
          <t>No</t>
        </is>
      </c>
      <c r="I155" s="27" t="inlineStr">
        <is>
          <t>Yes</t>
        </is>
      </c>
      <c r="J155" s="27" t="inlineStr">
        <is>
          <t>Zanahoria, kiwicha, queso fresco, canela</t>
        </is>
      </c>
      <c r="K155" s="27" t="inlineStr">
        <is>
          <t>Surquillo N.1</t>
        </is>
      </c>
      <c r="L155" s="28" t="n">
        <v>3.4</v>
      </c>
      <c r="M155" s="29" t="n">
        <v>13</v>
      </c>
      <c r="N155" s="30">
        <f>IFERROR(L155/M155,"")</f>
        <v/>
      </c>
      <c r="O155" s="31" t="inlineStr">
        <is>
          <t>No - estimate</t>
        </is>
      </c>
      <c r="P155" s="31">
        <f>IF(N155="","",IF(N155&gt;0.32,"Reprice or resource",IF(N155&lt;0.2,"Check cost is realistic","OK")))</f>
        <v/>
      </c>
    </row>
    <row r="156">
      <c r="A156" s="27" t="n">
        <v>155</v>
      </c>
      <c r="B156" s="27" t="inlineStr">
        <is>
          <t>Coffee &amp; Pecan Cake</t>
        </is>
      </c>
      <c r="C156" s="27" t="inlineStr">
        <is>
          <t>Coffee and walnut cake</t>
        </is>
      </c>
      <c r="D156" s="27" t="inlineStr">
        <is>
          <t>English</t>
        </is>
      </c>
      <c r="E156" s="27" t="inlineStr">
        <is>
          <t>Bakery</t>
        </is>
      </c>
      <c r="F156" s="27" t="inlineStr">
        <is>
          <t>Chanchamayo coffee and pecans for walnuts. The cake that sells itself at an afternoon booking.</t>
        </is>
      </c>
      <c r="G156" s="27" t="inlineStr">
        <is>
          <t>Drop-off</t>
        </is>
      </c>
      <c r="H156" s="27" t="inlineStr">
        <is>
          <t>No</t>
        </is>
      </c>
      <c r="I156" s="27" t="inlineStr">
        <is>
          <t>Yes</t>
        </is>
      </c>
      <c r="J156" s="27" t="inlineStr">
        <is>
          <t>Cafe, pecanas, harina, mantequilla</t>
        </is>
      </c>
      <c r="K156" s="27" t="inlineStr">
        <is>
          <t>Makro; Surquillo N.1</t>
        </is>
      </c>
      <c r="L156" s="28" t="n">
        <v>4.2</v>
      </c>
      <c r="M156" s="29" t="n">
        <v>16</v>
      </c>
      <c r="N156" s="30">
        <f>IFERROR(L156/M156,"")</f>
        <v/>
      </c>
      <c r="O156" s="31" t="inlineStr">
        <is>
          <t>No - estimate</t>
        </is>
      </c>
      <c r="P156" s="31">
        <f>IF(N156="","",IF(N156&gt;0.32,"Reprice or resource",IF(N156&lt;0.2,"Check cost is realistic","OK")))</f>
        <v/>
      </c>
    </row>
    <row r="157">
      <c r="A157" s="27" t="n">
        <v>156</v>
      </c>
      <c r="B157" s="27" t="inlineStr">
        <is>
          <t>Torta Helada de Aguaymanto</t>
        </is>
      </c>
      <c r="C157" s="27" t="inlineStr">
        <is>
          <t>Torta helada</t>
        </is>
      </c>
      <c r="D157" s="27" t="inlineStr">
        <is>
          <t>Peruvian</t>
        </is>
      </c>
      <c r="E157" s="27" t="inlineStr">
        <is>
          <t>Dessert</t>
        </is>
      </c>
      <c r="F157" s="27" t="inlineStr">
        <is>
          <t>Peruvian base, Scottish move: the Lima jelly cake rebuilt on aguaymanto with an oat sponge under it.</t>
        </is>
      </c>
      <c r="G157" s="27" t="inlineStr">
        <is>
          <t>Buffet</t>
        </is>
      </c>
      <c r="H157" s="27" t="inlineStr">
        <is>
          <t>No</t>
        </is>
      </c>
      <c r="I157" s="27" t="inlineStr">
        <is>
          <t>Yes</t>
        </is>
      </c>
      <c r="J157" s="27" t="inlineStr">
        <is>
          <t>Aguaymanto, gelatina, crema, avena</t>
        </is>
      </c>
      <c r="K157" s="27" t="inlineStr">
        <is>
          <t>Surquillo N.1; Makro</t>
        </is>
      </c>
      <c r="L157" s="28" t="n">
        <v>3.8</v>
      </c>
      <c r="M157" s="29" t="n">
        <v>14</v>
      </c>
      <c r="N157" s="30">
        <f>IFERROR(L157/M157,"")</f>
        <v/>
      </c>
      <c r="O157" s="31" t="inlineStr">
        <is>
          <t>No - estimate</t>
        </is>
      </c>
      <c r="P157" s="31">
        <f>IF(N157="","",IF(N157&gt;0.32,"Reprice or resource",IF(N157&lt;0.2,"Check cost is realistic","OK")))</f>
        <v/>
      </c>
    </row>
    <row r="158">
      <c r="A158" s="27" t="n">
        <v>157</v>
      </c>
      <c r="B158" s="27" t="inlineStr">
        <is>
          <t>Cacao &amp; Olive Oil Cake (vegan)</t>
        </is>
      </c>
      <c r="C158" s="27" t="inlineStr">
        <is>
          <t>Olive oil chocolate cake</t>
        </is>
      </c>
      <c r="D158" s="27" t="inlineStr">
        <is>
          <t>Scottish</t>
        </is>
      </c>
      <c r="E158" s="27" t="inlineStr">
        <is>
          <t>Dessert</t>
        </is>
      </c>
      <c r="F158" s="27" t="inlineStr">
        <is>
          <t>No dairy, no egg, no compromise: olive oil, cacao and chicha morada make a darker cake than butter does.</t>
        </is>
      </c>
      <c r="G158" s="27" t="inlineStr">
        <is>
          <t>Drop-off</t>
        </is>
      </c>
      <c r="H158" s="27" t="inlineStr">
        <is>
          <t>No</t>
        </is>
      </c>
      <c r="I158" s="27" t="inlineStr">
        <is>
          <t>Yes</t>
        </is>
      </c>
      <c r="J158" s="27" t="inlineStr">
        <is>
          <t>Cacao, aceite de oliva, harina, maiz morado</t>
        </is>
      </c>
      <c r="K158" s="27" t="inlineStr">
        <is>
          <t>Cacao distributor; Makro</t>
        </is>
      </c>
      <c r="L158" s="28" t="n">
        <v>3.6</v>
      </c>
      <c r="M158" s="29" t="n">
        <v>14</v>
      </c>
      <c r="N158" s="30">
        <f>IFERROR(L158/M158,"")</f>
        <v/>
      </c>
      <c r="O158" s="31" t="inlineStr">
        <is>
          <t>No - estimate</t>
        </is>
      </c>
      <c r="P158" s="31">
        <f>IF(N158="","",IF(N158&gt;0.32,"Reprice or resource",IF(N158&lt;0.2,"Check cost is realistic","OK")))</f>
        <v/>
      </c>
    </row>
    <row r="159">
      <c r="A159" s="27" t="n">
        <v>158</v>
      </c>
      <c r="B159" s="27" t="inlineStr">
        <is>
          <t>Quinoa &amp; Almond Torte</t>
        </is>
      </c>
      <c r="C159" s="27" t="inlineStr">
        <is>
          <t>Almond torte</t>
        </is>
      </c>
      <c r="D159" s="27" t="inlineStr">
        <is>
          <t>Basque</t>
        </is>
      </c>
      <c r="E159" s="27" t="inlineStr">
        <is>
          <t>Dessert</t>
        </is>
      </c>
      <c r="F159" s="27" t="inlineStr">
        <is>
          <t>Quinoa flour and ground almond, no wheat at all. The coeliac answer that is not an apology.</t>
        </is>
      </c>
      <c r="G159" s="27" t="inlineStr">
        <is>
          <t>Drop-off</t>
        </is>
      </c>
      <c r="H159" s="27" t="inlineStr">
        <is>
          <t>No</t>
        </is>
      </c>
      <c r="I159" s="27" t="inlineStr">
        <is>
          <t>Yes</t>
        </is>
      </c>
      <c r="J159" s="27" t="inlineStr">
        <is>
          <t>Quinua, almendra, huevo, azucar</t>
        </is>
      </c>
      <c r="K159" s="27" t="inlineStr">
        <is>
          <t>Makro; Surquillo N.1</t>
        </is>
      </c>
      <c r="L159" s="28" t="n">
        <v>4.8</v>
      </c>
      <c r="M159" s="29" t="n">
        <v>18</v>
      </c>
      <c r="N159" s="30">
        <f>IFERROR(L159/M159,"")</f>
        <v/>
      </c>
      <c r="O159" s="31" t="inlineStr">
        <is>
          <t>No - estimate</t>
        </is>
      </c>
      <c r="P159" s="31">
        <f>IF(N159="","",IF(N159&gt;0.32,"Reprice or resource",IF(N159&lt;0.2,"Check cost is realistic","OK")))</f>
        <v/>
      </c>
    </row>
    <row r="160">
      <c r="A160" s="27" t="n">
        <v>159</v>
      </c>
      <c r="B160" s="27" t="inlineStr">
        <is>
          <t>Chirimoya Pavlova</t>
        </is>
      </c>
      <c r="C160" s="27" t="inlineStr">
        <is>
          <t>Pavlova</t>
        </is>
      </c>
      <c r="D160" s="27" t="inlineStr">
        <is>
          <t>Nordic</t>
        </is>
      </c>
      <c r="E160" s="27" t="inlineStr">
        <is>
          <t>Dessert</t>
        </is>
      </c>
      <c r="F160" s="27" t="inlineStr">
        <is>
          <t>Meringue, cream and chirimoya. Naturally wheat-free, and the fruit does the work.</t>
        </is>
      </c>
      <c r="G160" s="27" t="inlineStr">
        <is>
          <t>Plated</t>
        </is>
      </c>
      <c r="H160" s="27" t="inlineStr">
        <is>
          <t>No</t>
        </is>
      </c>
      <c r="I160" s="27" t="inlineStr">
        <is>
          <t>Yes</t>
        </is>
      </c>
      <c r="J160" s="27" t="inlineStr">
        <is>
          <t>Huevo, azucar, crema, chirimoya</t>
        </is>
      </c>
      <c r="K160" s="27" t="inlineStr">
        <is>
          <t>Surquillo N.1</t>
        </is>
      </c>
      <c r="L160" s="28" t="n">
        <v>4.4</v>
      </c>
      <c r="M160" s="29" t="n">
        <v>16</v>
      </c>
      <c r="N160" s="30">
        <f>IFERROR(L160/M160,"")</f>
        <v/>
      </c>
      <c r="O160" s="31" t="inlineStr">
        <is>
          <t>No - estimate</t>
        </is>
      </c>
      <c r="P160" s="31">
        <f>IF(N160="","",IF(N160&gt;0.32,"Reprice or resource",IF(N160&lt;0.2,"Check cost is realistic","OK")))</f>
        <v/>
      </c>
    </row>
    <row r="161">
      <c r="A161" s="27" t="n">
        <v>160</v>
      </c>
      <c r="B161" s="27" t="inlineStr">
        <is>
          <t>Banana &amp; Chancaca Loaf</t>
        </is>
      </c>
      <c r="C161" s="27" t="inlineStr">
        <is>
          <t>Banana bread</t>
        </is>
      </c>
      <c r="D161" s="27" t="inlineStr">
        <is>
          <t>English</t>
        </is>
      </c>
      <c r="E161" s="27" t="inlineStr">
        <is>
          <t>Bakery</t>
        </is>
      </c>
      <c r="F161" s="27" t="inlineStr">
        <is>
          <t>Chancaca instead of brown sugar, and a chancaca glaze while warm.</t>
        </is>
      </c>
      <c r="G161" s="27" t="inlineStr">
        <is>
          <t>Drop-off</t>
        </is>
      </c>
      <c r="H161" s="27" t="inlineStr">
        <is>
          <t>No</t>
        </is>
      </c>
      <c r="I161" s="27" t="inlineStr">
        <is>
          <t>Yes</t>
        </is>
      </c>
      <c r="J161" s="27" t="inlineStr">
        <is>
          <t>Platano, chancaca, harina, mantequilla</t>
        </is>
      </c>
      <c r="K161" s="27" t="inlineStr">
        <is>
          <t>Surquillo N.1</t>
        </is>
      </c>
      <c r="L161" s="28" t="n">
        <v>2.6</v>
      </c>
      <c r="M161" s="29" t="n">
        <v>10</v>
      </c>
      <c r="N161" s="30">
        <f>IFERROR(L161/M161,"")</f>
        <v/>
      </c>
      <c r="O161" s="31" t="inlineStr">
        <is>
          <t>No - estimate</t>
        </is>
      </c>
      <c r="P161" s="31">
        <f>IF(N161="","",IF(N161&gt;0.32,"Reprice or resource",IF(N161&lt;0.2,"Check cost is realistic","OK")))</f>
        <v/>
      </c>
    </row>
    <row r="162">
      <c r="A162" s="27" t="n">
        <v>161</v>
      </c>
      <c r="B162" s="27" t="inlineStr">
        <is>
          <t>Maracuya Curd Cake</t>
        </is>
      </c>
      <c r="C162" s="27" t="inlineStr">
        <is>
          <t>Lemon curd cake</t>
        </is>
      </c>
      <c r="D162" s="27" t="inlineStr">
        <is>
          <t>English</t>
        </is>
      </c>
      <c r="E162" s="27" t="inlineStr">
        <is>
          <t>Bakery</t>
        </is>
      </c>
      <c r="F162" s="27" t="inlineStr">
        <is>
          <t>Maracuya where a Scottish bakery would use lemon. Sharper, and it holds colour in the box.</t>
        </is>
      </c>
      <c r="G162" s="27" t="inlineStr">
        <is>
          <t>Drop-off</t>
        </is>
      </c>
      <c r="H162" s="27" t="inlineStr">
        <is>
          <t>No</t>
        </is>
      </c>
      <c r="I162" s="27" t="inlineStr">
        <is>
          <t>Yes</t>
        </is>
      </c>
      <c r="J162" s="27" t="inlineStr">
        <is>
          <t>Maracuya, huevo, harina, mantequilla</t>
        </is>
      </c>
      <c r="K162" s="27" t="inlineStr">
        <is>
          <t>Surquillo N.1</t>
        </is>
      </c>
      <c r="L162" s="28" t="n">
        <v>3.8</v>
      </c>
      <c r="M162" s="29" t="n">
        <v>14</v>
      </c>
      <c r="N162" s="30">
        <f>IFERROR(L162/M162,"")</f>
        <v/>
      </c>
      <c r="O162" s="31" t="inlineStr">
        <is>
          <t>No - estimate</t>
        </is>
      </c>
      <c r="P162" s="31">
        <f>IF(N162="","",IF(N162&gt;0.32,"Reprice or resource",IF(N162&lt;0.2,"Check cost is realistic","OK")))</f>
        <v/>
      </c>
    </row>
    <row r="163">
      <c r="A163" s="27" t="n">
        <v>162</v>
      </c>
      <c r="B163" s="27" t="inlineStr">
        <is>
          <t>Sticky Ginger Parkin</t>
        </is>
      </c>
      <c r="C163" s="27" t="inlineStr">
        <is>
          <t>Parkin</t>
        </is>
      </c>
      <c r="D163" s="27" t="inlineStr">
        <is>
          <t>English</t>
        </is>
      </c>
      <c r="E163" s="27" t="inlineStr">
        <is>
          <t>Bakery</t>
        </is>
      </c>
      <c r="F163" s="27" t="inlineStr">
        <is>
          <t>The Yorkshire oat-and-treacle cake, chancaca for the treacle. Improves for a week in the tin.</t>
        </is>
      </c>
      <c r="G163" s="27" t="inlineStr">
        <is>
          <t>Drop-off</t>
        </is>
      </c>
      <c r="H163" s="27" t="inlineStr">
        <is>
          <t>No</t>
        </is>
      </c>
      <c r="I163" s="27" t="inlineStr">
        <is>
          <t>Yes</t>
        </is>
      </c>
      <c r="J163" s="27" t="inlineStr">
        <is>
          <t>Avena, chancaca, jengibre, harina</t>
        </is>
      </c>
      <c r="K163" s="27" t="inlineStr">
        <is>
          <t>Makro</t>
        </is>
      </c>
      <c r="L163" s="28" t="n">
        <v>2.8</v>
      </c>
      <c r="M163" s="29" t="n">
        <v>11</v>
      </c>
      <c r="N163" s="30">
        <f>IFERROR(L163/M163,"")</f>
        <v/>
      </c>
      <c r="O163" s="31" t="inlineStr">
        <is>
          <t>No - estimate</t>
        </is>
      </c>
      <c r="P163" s="31">
        <f>IF(N163="","",IF(N163&gt;0.32,"Reprice or resource",IF(N163&lt;0.2,"Check cost is realistic","OK")))</f>
        <v/>
      </c>
    </row>
    <row r="164">
      <c r="A164" s="27" t="n">
        <v>163</v>
      </c>
      <c r="B164" s="27" t="inlineStr">
        <is>
          <t>Aguaymanto Crumble Cake (vegan)</t>
        </is>
      </c>
      <c r="C164" s="27" t="inlineStr">
        <is>
          <t>Crumble cake</t>
        </is>
      </c>
      <c r="D164" s="27" t="inlineStr">
        <is>
          <t>Scottish</t>
        </is>
      </c>
      <c r="E164" s="27" t="inlineStr">
        <is>
          <t>Bakery</t>
        </is>
      </c>
      <c r="F164" s="27" t="inlineStr">
        <is>
          <t>Oil-based sponge, aguaymanto layer, oat crumble on top. Vegan and nobody has to be told.</t>
        </is>
      </c>
      <c r="G164" s="27" t="inlineStr">
        <is>
          <t>Drop-off</t>
        </is>
      </c>
      <c r="H164" s="27" t="inlineStr">
        <is>
          <t>No</t>
        </is>
      </c>
      <c r="I164" s="27" t="inlineStr">
        <is>
          <t>Yes</t>
        </is>
      </c>
      <c r="J164" s="27" t="inlineStr">
        <is>
          <t>Aguaymanto, avena, harina, aceite</t>
        </is>
      </c>
      <c r="K164" s="27" t="inlineStr">
        <is>
          <t>Surquillo N.1</t>
        </is>
      </c>
      <c r="L164" s="28" t="n">
        <v>3</v>
      </c>
      <c r="M164" s="29" t="n">
        <v>11</v>
      </c>
      <c r="N164" s="30">
        <f>IFERROR(L164/M164,"")</f>
        <v/>
      </c>
      <c r="O164" s="31" t="inlineStr">
        <is>
          <t>No - estimate</t>
        </is>
      </c>
      <c r="P164" s="31">
        <f>IF(N164="","",IF(N164&gt;0.32,"Reprice or resource",IF(N164&lt;0.2,"Check cost is realistic","OK")))</f>
        <v/>
      </c>
    </row>
    <row r="165">
      <c r="A165" s="27" t="n">
        <v>164</v>
      </c>
      <c r="B165" s="27" t="inlineStr">
        <is>
          <t>Lemon &amp; Muna Drizzle Cake</t>
        </is>
      </c>
      <c r="C165" s="27" t="inlineStr">
        <is>
          <t>Lemon drizzle</t>
        </is>
      </c>
      <c r="D165" s="27" t="inlineStr">
        <is>
          <t>Scottish</t>
        </is>
      </c>
      <c r="E165" s="27" t="inlineStr">
        <is>
          <t>Bakery</t>
        </is>
      </c>
      <c r="F165" s="27" t="inlineStr">
        <is>
          <t>Muna in the syrup alongside the lemon - the Andean mint reads as something between mint and thyme.</t>
        </is>
      </c>
      <c r="G165" s="27" t="inlineStr">
        <is>
          <t>Drop-off</t>
        </is>
      </c>
      <c r="H165" s="27" t="inlineStr">
        <is>
          <t>No</t>
        </is>
      </c>
      <c r="I165" s="27" t="inlineStr">
        <is>
          <t>Yes</t>
        </is>
      </c>
      <c r="J165" s="27" t="inlineStr">
        <is>
          <t>Limon, muna, harina, mantequilla</t>
        </is>
      </c>
      <c r="K165" s="27" t="inlineStr">
        <is>
          <t>Surquillo N.1</t>
        </is>
      </c>
      <c r="L165" s="28" t="n">
        <v>3.2</v>
      </c>
      <c r="M165" s="29" t="n">
        <v>12</v>
      </c>
      <c r="N165" s="30">
        <f>IFERROR(L165/M165,"")</f>
        <v/>
      </c>
      <c r="O165" s="31" t="inlineStr">
        <is>
          <t>No - estimate</t>
        </is>
      </c>
      <c r="P165" s="31">
        <f>IF(N165="","",IF(N165&gt;0.32,"Reprice or resource",IF(N165&lt;0.2,"Check cost is realistic","OK")))</f>
        <v/>
      </c>
    </row>
    <row r="166">
      <c r="A166" s="27" t="n">
        <v>165</v>
      </c>
      <c r="B166" s="27" t="inlineStr">
        <is>
          <t>Papa Amarilla Chocolate Cake</t>
        </is>
      </c>
      <c r="C166" s="27" t="inlineStr">
        <is>
          <t>Potato chocolate cake</t>
        </is>
      </c>
      <c r="D166" s="27" t="inlineStr">
        <is>
          <t>Scottish</t>
        </is>
      </c>
      <c r="E166" s="27" t="inlineStr">
        <is>
          <t>Dessert</t>
        </is>
      </c>
      <c r="F166" s="27" t="inlineStr">
        <is>
          <t>Yellow potato in the crumb, no wheat. The same trick as the Scottish macaroon, made into a cake.</t>
        </is>
      </c>
      <c r="G166" s="27" t="inlineStr">
        <is>
          <t>Buffet</t>
        </is>
      </c>
      <c r="H166" s="27" t="inlineStr">
        <is>
          <t>No</t>
        </is>
      </c>
      <c r="I166" s="27" t="inlineStr">
        <is>
          <t>Yes</t>
        </is>
      </c>
      <c r="J166" s="27" t="inlineStr">
        <is>
          <t>Papa amarilla, cacao, huevo, azucar</t>
        </is>
      </c>
      <c r="K166" s="27" t="inlineStr">
        <is>
          <t>Surquillo N.1; cacao distributor</t>
        </is>
      </c>
      <c r="L166" s="28" t="n">
        <v>4</v>
      </c>
      <c r="M166" s="29" t="n">
        <v>15</v>
      </c>
      <c r="N166" s="30">
        <f>IFERROR(L166/M166,"")</f>
        <v/>
      </c>
      <c r="O166" s="31" t="inlineStr">
        <is>
          <t>No - estimate</t>
        </is>
      </c>
      <c r="P166" s="31">
        <f>IF(N166="","",IF(N166&gt;0.32,"Reprice or resource",IF(N166&lt;0.2,"Check cost is realistic","OK")))</f>
        <v/>
      </c>
    </row>
    <row r="167">
      <c r="A167" s="27" t="n">
        <v>166</v>
      </c>
      <c r="B167" s="27" t="inlineStr">
        <is>
          <t>Tarta de Chirimoya y Crema</t>
        </is>
      </c>
      <c r="C167" s="27" t="inlineStr">
        <is>
          <t>Cream tart</t>
        </is>
      </c>
      <c r="D167" s="27" t="inlineStr">
        <is>
          <t>Basque</t>
        </is>
      </c>
      <c r="E167" s="27" t="inlineStr">
        <is>
          <t>Dessert</t>
        </is>
      </c>
      <c r="F167" s="27" t="inlineStr">
        <is>
          <t>Chirimoya folded through set cream on a cacao base. Cold set, no oven on the day.</t>
        </is>
      </c>
      <c r="G167" s="27" t="inlineStr">
        <is>
          <t>Drop-off</t>
        </is>
      </c>
      <c r="H167" s="27" t="inlineStr">
        <is>
          <t>No</t>
        </is>
      </c>
      <c r="I167" s="27" t="inlineStr">
        <is>
          <t>Yes</t>
        </is>
      </c>
      <c r="J167" s="27" t="inlineStr">
        <is>
          <t>Chirimoya, crema, cacao, gelatina</t>
        </is>
      </c>
      <c r="K167" s="27" t="inlineStr">
        <is>
          <t>Surquillo N.1</t>
        </is>
      </c>
      <c r="L167" s="28" t="n">
        <v>4.6</v>
      </c>
      <c r="M167" s="29" t="n">
        <v>17</v>
      </c>
      <c r="N167" s="30">
        <f>IFERROR(L167/M167,"")</f>
        <v/>
      </c>
      <c r="O167" s="31" t="inlineStr">
        <is>
          <t>No - estimate</t>
        </is>
      </c>
      <c r="P167" s="31">
        <f>IF(N167="","",IF(N167&gt;0.32,"Reprice or resource",IF(N167&lt;0.2,"Check cost is realistic","OK")))</f>
        <v/>
      </c>
    </row>
    <row r="168">
      <c r="A168" s="27" t="n">
        <v>167</v>
      </c>
      <c r="B168" s="27" t="inlineStr">
        <is>
          <t>Coconut &amp; Lucuma Traybake (vegan)</t>
        </is>
      </c>
      <c r="C168" s="27" t="inlineStr">
        <is>
          <t>Traybake</t>
        </is>
      </c>
      <c r="D168" s="27" t="inlineStr">
        <is>
          <t>Scottish</t>
        </is>
      </c>
      <c r="E168" s="27" t="inlineStr">
        <is>
          <t>Bakery</t>
        </is>
      </c>
      <c r="F168" s="27" t="inlineStr">
        <is>
          <t>Coconut oil and coconut milk carry the lucuma. Vegan, dairy-free and it travels better than butter does.</t>
        </is>
      </c>
      <c r="G168" s="27" t="inlineStr">
        <is>
          <t>Drop-off</t>
        </is>
      </c>
      <c r="H168" s="27" t="inlineStr">
        <is>
          <t>No</t>
        </is>
      </c>
      <c r="I168" s="27" t="inlineStr">
        <is>
          <t>Yes</t>
        </is>
      </c>
      <c r="J168" s="27" t="inlineStr">
        <is>
          <t>Lucuma, coco, harina, aceite de coco</t>
        </is>
      </c>
      <c r="K168" s="27" t="inlineStr">
        <is>
          <t>Makro; Surquillo N.1</t>
        </is>
      </c>
      <c r="L168" s="28" t="n">
        <v>3.4</v>
      </c>
      <c r="M168" s="29" t="n">
        <v>13</v>
      </c>
      <c r="N168" s="30">
        <f>IFERROR(L168/M168,"")</f>
        <v/>
      </c>
      <c r="O168" s="31" t="inlineStr">
        <is>
          <t>No - estimate</t>
        </is>
      </c>
      <c r="P168" s="31">
        <f>IF(N168="","",IF(N168&gt;0.32,"Reprice or resource",IF(N168&lt;0.2,"Check cost is realistic","OK")))</f>
        <v/>
      </c>
    </row>
    <row r="169">
      <c r="A169" s="27" t="n">
        <v>168</v>
      </c>
      <c r="B169" s="27" t="inlineStr">
        <is>
          <t>Whisky Truffle Torte</t>
        </is>
      </c>
      <c r="C169" s="27" t="inlineStr">
        <is>
          <t>Chocolate truffle torte</t>
        </is>
      </c>
      <c r="D169" s="27" t="inlineStr">
        <is>
          <t>Scottish</t>
        </is>
      </c>
      <c r="E169" s="27" t="inlineStr">
        <is>
          <t>Dessert</t>
        </is>
      </c>
      <c r="F169" s="27" t="inlineStr">
        <is>
          <t>Flourless: Peruvian cacao, butter, egg and whisky. Coeliac-safe and the richest thing on the sheet.</t>
        </is>
      </c>
      <c r="G169" s="27" t="inlineStr">
        <is>
          <t>Plated</t>
        </is>
      </c>
      <c r="H169" s="27" t="inlineStr">
        <is>
          <t>Yes</t>
        </is>
      </c>
      <c r="I169" s="27" t="inlineStr">
        <is>
          <t>Yes</t>
        </is>
      </c>
      <c r="J169" s="27" t="inlineStr">
        <is>
          <t>Cacao, mantequilla, huevo, whisky</t>
        </is>
      </c>
      <c r="K169" s="27" t="inlineStr">
        <is>
          <t>Cacao distributor; Makro</t>
        </is>
      </c>
      <c r="L169" s="28" t="n">
        <v>6</v>
      </c>
      <c r="M169" s="29" t="n">
        <v>22</v>
      </c>
      <c r="N169" s="30">
        <f>IFERROR(L169/M169,"")</f>
        <v/>
      </c>
      <c r="O169" s="31" t="inlineStr">
        <is>
          <t>No - estimate</t>
        </is>
      </c>
      <c r="P169" s="31">
        <f>IF(N169="","",IF(N169&gt;0.32,"Reprice or resource",IF(N169&lt;0.2,"Check cost is realistic","OK")))</f>
        <v/>
      </c>
    </row>
    <row r="170">
      <c r="A170" s="27" t="n">
        <v>169</v>
      </c>
      <c r="B170" s="27" t="inlineStr">
        <is>
          <t>Pisco Sour Meringue Tart</t>
        </is>
      </c>
      <c r="C170" s="27" t="inlineStr">
        <is>
          <t>Lemon meringue pie</t>
        </is>
      </c>
      <c r="D170" s="27" t="inlineStr">
        <is>
          <t>Scottish</t>
        </is>
      </c>
      <c r="E170" s="27" t="inlineStr">
        <is>
          <t>Dessert</t>
        </is>
      </c>
      <c r="F170" s="27" t="inlineStr">
        <is>
          <t>Lime curd with pisco and a torched meringue - the cocktail as a tart, and the licence covers both.</t>
        </is>
      </c>
      <c r="G170" s="27" t="inlineStr">
        <is>
          <t>Plated</t>
        </is>
      </c>
      <c r="H170" s="27" t="inlineStr">
        <is>
          <t>Yes</t>
        </is>
      </c>
      <c r="I170" s="27" t="inlineStr">
        <is>
          <t>Yes</t>
        </is>
      </c>
      <c r="J170" s="27" t="inlineStr">
        <is>
          <t>Limon, pisco, huevo, azucar</t>
        </is>
      </c>
      <c r="K170" s="27" t="inlineStr">
        <is>
          <t>Surquillo N.1; Makro</t>
        </is>
      </c>
      <c r="L170" s="28" t="n">
        <v>4.4</v>
      </c>
      <c r="M170" s="29" t="n">
        <v>16</v>
      </c>
      <c r="N170" s="30">
        <f>IFERROR(L170/M170,"")</f>
        <v/>
      </c>
      <c r="O170" s="31" t="inlineStr">
        <is>
          <t>No - estimate</t>
        </is>
      </c>
      <c r="P170" s="31">
        <f>IF(N170="","",IF(N170&gt;0.32,"Reprice or resource",IF(N170&lt;0.2,"Check cost is realistic","OK")))</f>
        <v/>
      </c>
    </row>
    <row r="171">
      <c r="A171" s="27" t="n">
        <v>170</v>
      </c>
      <c r="B171" s="27" t="inlineStr">
        <is>
          <t>Kiwicha Honey Cake</t>
        </is>
      </c>
      <c r="C171" s="27" t="inlineStr">
        <is>
          <t>Honey cake</t>
        </is>
      </c>
      <c r="D171" s="27" t="inlineStr">
        <is>
          <t>Nordic</t>
        </is>
      </c>
      <c r="E171" s="27" t="inlineStr">
        <is>
          <t>Bakery</t>
        </is>
      </c>
      <c r="F171" s="27" t="inlineStr">
        <is>
          <t>Layers of kiwicha sponge with algarrobina cream. The Nordic honey cake, built on Andean grain.</t>
        </is>
      </c>
      <c r="G171" s="27" t="inlineStr">
        <is>
          <t>Drop-off</t>
        </is>
      </c>
      <c r="H171" s="27" t="inlineStr">
        <is>
          <t>No</t>
        </is>
      </c>
      <c r="I171" s="27" t="inlineStr">
        <is>
          <t>Yes</t>
        </is>
      </c>
      <c r="J171" s="27" t="inlineStr">
        <is>
          <t>Kiwicha, algarrobina, crema, harina</t>
        </is>
      </c>
      <c r="K171" s="27" t="inlineStr">
        <is>
          <t>Makro; Surquillo N.1</t>
        </is>
      </c>
      <c r="L171" s="28" t="n">
        <v>4</v>
      </c>
      <c r="M171" s="29" t="n">
        <v>15</v>
      </c>
      <c r="N171" s="30">
        <f>IFERROR(L171/M171,"")</f>
        <v/>
      </c>
      <c r="O171" s="31" t="inlineStr">
        <is>
          <t>No - estimate</t>
        </is>
      </c>
      <c r="P171" s="31">
        <f>IF(N171="","",IF(N171&gt;0.32,"Reprice or resource",IF(N171&lt;0.2,"Check cost is realistic","OK")))</f>
        <v/>
      </c>
    </row>
    <row r="172">
      <c r="A172" s="27" t="n">
        <v>171</v>
      </c>
      <c r="B172" s="27" t="inlineStr">
        <is>
          <t>Clootie Dumpling, Chancaca</t>
        </is>
      </c>
      <c r="C172" s="27" t="inlineStr">
        <is>
          <t>Clootie dumpling</t>
        </is>
      </c>
      <c r="D172" s="27" t="inlineStr">
        <is>
          <t>Scottish</t>
        </is>
      </c>
      <c r="E172" s="27" t="inlineStr">
        <is>
          <t>Dessert</t>
        </is>
      </c>
      <c r="F172" s="27" t="inlineStr">
        <is>
          <t>Steamed in a cloth like the original; chancaca for the treacle and aguaymanto for the currants. Keeps a fortnight and slices cold.</t>
        </is>
      </c>
      <c r="G172" s="27" t="inlineStr">
        <is>
          <t>Buffet</t>
        </is>
      </c>
      <c r="H172" s="27" t="inlineStr">
        <is>
          <t>No</t>
        </is>
      </c>
      <c r="I172" s="27" t="inlineStr">
        <is>
          <t>Yes</t>
        </is>
      </c>
      <c r="J172" s="27" t="inlineStr">
        <is>
          <t>Harina, avena, chancaca, aguaymanto</t>
        </is>
      </c>
      <c r="K172" s="27" t="inlineStr">
        <is>
          <t>Makro; Surquillo N.1</t>
        </is>
      </c>
      <c r="L172" s="28" t="n">
        <v>3.4</v>
      </c>
      <c r="M172" s="29" t="n">
        <v>13</v>
      </c>
      <c r="N172" s="30">
        <f>IFERROR(L172/M172,"")</f>
        <v/>
      </c>
      <c r="O172" s="31" t="inlineStr">
        <is>
          <t>No - estimate</t>
        </is>
      </c>
      <c r="P172" s="31">
        <f>IF(N172="","",IF(N172&gt;0.32,"Reprice or resource",IF(N172&lt;0.2,"Check cost is realistic","OK")))</f>
        <v/>
      </c>
    </row>
    <row r="173">
      <c r="A173" s="27" t="n">
        <v>172</v>
      </c>
      <c r="B173" s="27" t="inlineStr">
        <is>
          <t>Papa Rellena, Haggis</t>
        </is>
      </c>
      <c r="C173" s="27" t="inlineStr">
        <is>
          <t>Papa rellena</t>
        </is>
      </c>
      <c r="D173" s="27" t="inlineStr">
        <is>
          <t>Peruvian</t>
        </is>
      </c>
      <c r="E173" s="27" t="inlineStr">
        <is>
          <t>Canape</t>
        </is>
      </c>
      <c r="F173" s="27" t="inlineStr">
        <is>
          <t>Peruvian base, Scottish move: haggis inside the potato instead of the usual beef picadillo. Fried to order, and the shell is the same.</t>
        </is>
      </c>
      <c r="G173" s="27" t="inlineStr">
        <is>
          <t>Live station</t>
        </is>
      </c>
      <c r="H173" s="27" t="inlineStr">
        <is>
          <t>No</t>
        </is>
      </c>
      <c r="I173" s="27" t="inlineStr">
        <is>
          <t>No</t>
        </is>
      </c>
      <c r="J173" s="27" t="inlineStr">
        <is>
          <t>Papa amarilla, lamb offal, avena, aji panca</t>
        </is>
      </c>
      <c r="K173" s="27" t="inlineStr">
        <is>
          <t>Surquillo N.1; Mercado de Magdalena</t>
        </is>
      </c>
      <c r="L173" s="28" t="n">
        <v>3</v>
      </c>
      <c r="M173" s="29" t="n">
        <v>11</v>
      </c>
      <c r="N173" s="30">
        <f>IFERROR(L173/M173,"")</f>
        <v/>
      </c>
      <c r="O173" s="31" t="inlineStr">
        <is>
          <t>No - estimate</t>
        </is>
      </c>
      <c r="P173" s="31">
        <f>IF(N173="","",IF(N173&gt;0.32,"Reprice or resource",IF(N173&lt;0.2,"Check cost is realistic","OK")))</f>
        <v/>
      </c>
    </row>
    <row r="174">
      <c r="A174" s="27" t="n">
        <v>173</v>
      </c>
      <c r="B174" s="27" t="inlineStr">
        <is>
          <t>Tequenos de Paria y Whisky</t>
        </is>
      </c>
      <c r="C174" s="27" t="inlineStr">
        <is>
          <t>Tequenos</t>
        </is>
      </c>
      <c r="D174" s="27" t="inlineStr">
        <is>
          <t>Peruvian</t>
        </is>
      </c>
      <c r="E174" s="27" t="inlineStr">
        <is>
          <t>Canape</t>
        </is>
      </c>
      <c r="F174" s="27" t="inlineStr">
        <is>
          <t>Peruvian base, Scottish move: queso paria in the wonton with a whisky and chancaca dip rather than guacamole.</t>
        </is>
      </c>
      <c r="G174" s="27" t="inlineStr">
        <is>
          <t>Drop-off</t>
        </is>
      </c>
      <c r="H174" s="27" t="inlineStr">
        <is>
          <t>Yes</t>
        </is>
      </c>
      <c r="I174" s="27" t="inlineStr">
        <is>
          <t>Yes</t>
        </is>
      </c>
      <c r="J174" s="27" t="inlineStr">
        <is>
          <t>Queso paria, masa wonton, whisky, chancaca</t>
        </is>
      </c>
      <c r="K174" s="27" t="inlineStr">
        <is>
          <t>Makro; Surquillo N.1</t>
        </is>
      </c>
      <c r="L174" s="28" t="n">
        <v>2.4</v>
      </c>
      <c r="M174" s="29" t="n">
        <v>9</v>
      </c>
      <c r="N174" s="30">
        <f>IFERROR(L174/M174,"")</f>
        <v/>
      </c>
      <c r="O174" s="31" t="inlineStr">
        <is>
          <t>No - estimate</t>
        </is>
      </c>
      <c r="P174" s="31">
        <f>IF(N174="","",IF(N174&gt;0.32,"Reprice or resource",IF(N174&lt;0.2,"Check cost is realistic","OK")))</f>
        <v/>
      </c>
    </row>
    <row r="175">
      <c r="A175" s="27" t="n">
        <v>174</v>
      </c>
      <c r="B175" s="27" t="inlineStr">
        <is>
          <t>Choclo con Queso, Mostaza</t>
        </is>
      </c>
      <c r="C175" s="27" t="inlineStr">
        <is>
          <t>Choclo con queso</t>
        </is>
      </c>
      <c r="D175" s="27" t="inlineStr">
        <is>
          <t>Peruvian</t>
        </is>
      </c>
      <c r="E175" s="27" t="inlineStr">
        <is>
          <t>Side</t>
        </is>
      </c>
      <c r="F175" s="27" t="inlineStr">
        <is>
          <t>Peruvian base, Scottish move: the street-corner choclo with a wholegrain mustard butter melted over it.</t>
        </is>
      </c>
      <c r="G175" s="27" t="inlineStr">
        <is>
          <t>Buffet</t>
        </is>
      </c>
      <c r="H175" s="27" t="inlineStr">
        <is>
          <t>No</t>
        </is>
      </c>
      <c r="I175" s="27" t="inlineStr">
        <is>
          <t>Yes</t>
        </is>
      </c>
      <c r="J175" s="27" t="inlineStr">
        <is>
          <t>Choclo, queso fresco, mantequilla, mostaza</t>
        </is>
      </c>
      <c r="K175" s="27" t="inlineStr">
        <is>
          <t>Surquillo N.1</t>
        </is>
      </c>
      <c r="L175" s="28" t="n">
        <v>2.8</v>
      </c>
      <c r="M175" s="29" t="n">
        <v>11</v>
      </c>
      <c r="N175" s="30">
        <f>IFERROR(L175/M175,"")</f>
        <v/>
      </c>
      <c r="O175" s="31" t="inlineStr">
        <is>
          <t>No - estimate</t>
        </is>
      </c>
      <c r="P175" s="31">
        <f>IF(N175="","",IF(N175&gt;0.32,"Reprice or resource",IF(N175&lt;0.2,"Check cost is realistic","OK")))</f>
        <v/>
      </c>
    </row>
    <row r="176">
      <c r="A176" s="27" t="n">
        <v>175</v>
      </c>
      <c r="B176" s="27" t="inlineStr">
        <is>
          <t>Solterito de Quinua y Berros</t>
        </is>
      </c>
      <c r="C176" s="27" t="inlineStr">
        <is>
          <t>Solterito</t>
        </is>
      </c>
      <c r="D176" s="27" t="inlineStr">
        <is>
          <t>Peruvian</t>
        </is>
      </c>
      <c r="E176" s="27" t="inlineStr">
        <is>
          <t>Side</t>
        </is>
      </c>
      <c r="F176" s="27" t="inlineStr">
        <is>
          <t>Peruvian base, Scottish move: watercress carries the Arequipa salad where the habas run out. Vegan as built.</t>
        </is>
      </c>
      <c r="G176" s="27" t="inlineStr">
        <is>
          <t>Drop-off</t>
        </is>
      </c>
      <c r="H176" s="27" t="inlineStr">
        <is>
          <t>No</t>
        </is>
      </c>
      <c r="I176" s="27" t="inlineStr">
        <is>
          <t>Yes</t>
        </is>
      </c>
      <c r="J176" s="27" t="inlineStr">
        <is>
          <t>Quinua, berros, aceituna de Tacna, rocoto</t>
        </is>
      </c>
      <c r="K176" s="27" t="inlineStr">
        <is>
          <t>Surquillo N.1</t>
        </is>
      </c>
      <c r="L176" s="28" t="n">
        <v>3</v>
      </c>
      <c r="M176" s="29" t="n">
        <v>12</v>
      </c>
      <c r="N176" s="30">
        <f>IFERROR(L176/M176,"")</f>
        <v/>
      </c>
      <c r="O176" s="31" t="inlineStr">
        <is>
          <t>No - estimate</t>
        </is>
      </c>
      <c r="P176" s="31">
        <f>IF(N176="","",IF(N176&gt;0.32,"Reprice or resource",IF(N176&lt;0.2,"Check cost is realistic","OK")))</f>
        <v/>
      </c>
    </row>
    <row r="177">
      <c r="A177" s="27" t="n">
        <v>176</v>
      </c>
      <c r="B177" s="27" t="inlineStr">
        <is>
          <t>Cau Cau de Setas</t>
        </is>
      </c>
      <c r="C177" s="27" t="inlineStr">
        <is>
          <t>Cau cau</t>
        </is>
      </c>
      <c r="D177" s="27" t="inlineStr">
        <is>
          <t>Peruvian</t>
        </is>
      </c>
      <c r="E177" s="27" t="inlineStr">
        <is>
          <t>Main</t>
        </is>
      </c>
      <c r="F177" s="27" t="inlineStr">
        <is>
          <t>Peruvian base, Scottish move: mushrooms instead of tripe, oats to thicken instead of potato alone. Vegan, and it does not read as a compromise.</t>
        </is>
      </c>
      <c r="G177" s="27" t="inlineStr">
        <is>
          <t>Buffet</t>
        </is>
      </c>
      <c r="H177" s="27" t="inlineStr">
        <is>
          <t>No</t>
        </is>
      </c>
      <c r="I177" s="27" t="inlineStr">
        <is>
          <t>Yes</t>
        </is>
      </c>
      <c r="J177" s="27" t="inlineStr">
        <is>
          <t>Champinones, papa amarilla, aji amarillo, hierbabuena, avena</t>
        </is>
      </c>
      <c r="K177" s="27" t="inlineStr">
        <is>
          <t>Surquillo N.1</t>
        </is>
      </c>
      <c r="L177" s="28" t="n">
        <v>6.5</v>
      </c>
      <c r="M177" s="29" t="n">
        <v>24</v>
      </c>
      <c r="N177" s="30">
        <f>IFERROR(L177/M177,"")</f>
        <v/>
      </c>
      <c r="O177" s="31" t="inlineStr">
        <is>
          <t>No - estimate</t>
        </is>
      </c>
      <c r="P177" s="31">
        <f>IF(N177="","",IF(N177&gt;0.32,"Reprice or resource",IF(N177&lt;0.2,"Check cost is realistic","OK")))</f>
        <v/>
      </c>
    </row>
    <row r="178">
      <c r="A178" s="27" t="n">
        <v>177</v>
      </c>
      <c r="B178" s="27" t="inlineStr">
        <is>
          <t>Seco de Cordero, Stout</t>
        </is>
      </c>
      <c r="C178" s="27" t="inlineStr">
        <is>
          <t>Seco de cordero</t>
        </is>
      </c>
      <c r="D178" s="27" t="inlineStr">
        <is>
          <t>Peruvian</t>
        </is>
      </c>
      <c r="E178" s="27" t="inlineStr">
        <is>
          <t>Main</t>
        </is>
      </c>
      <c r="F178" s="27" t="inlineStr">
        <is>
          <t>Peruvian base, Scottish move: stout in the braise where chicha de jora usually goes. Culantro stays; it is the whole dish.</t>
        </is>
      </c>
      <c r="G178" s="27" t="inlineStr">
        <is>
          <t>Buffet</t>
        </is>
      </c>
      <c r="H178" s="27" t="inlineStr">
        <is>
          <t>Yes</t>
        </is>
      </c>
      <c r="I178" s="27" t="inlineStr">
        <is>
          <t>No</t>
        </is>
      </c>
      <c r="J178" s="27" t="inlineStr">
        <is>
          <t>Cordero, culantro, cerveza negra, frejol</t>
        </is>
      </c>
      <c r="K178" s="27" t="inlineStr">
        <is>
          <t>Artisanal butcher; Surquillo N.1</t>
        </is>
      </c>
      <c r="L178" s="28" t="n">
        <v>9.5</v>
      </c>
      <c r="M178" s="29" t="n">
        <v>34</v>
      </c>
      <c r="N178" s="30">
        <f>IFERROR(L178/M178,"")</f>
        <v/>
      </c>
      <c r="O178" s="31" t="inlineStr">
        <is>
          <t>No - estimate</t>
        </is>
      </c>
      <c r="P178" s="31">
        <f>IF(N178="","",IF(N178&gt;0.32,"Reprice or resource",IF(N178&lt;0.2,"Check cost is realistic","OK")))</f>
        <v/>
      </c>
    </row>
    <row r="179">
      <c r="A179" s="27" t="n">
        <v>178</v>
      </c>
      <c r="B179" s="27" t="inlineStr">
        <is>
          <t>Adobo Arequipeno, Ale</t>
        </is>
      </c>
      <c r="C179" s="27" t="inlineStr">
        <is>
          <t>Adobo arequipeno</t>
        </is>
      </c>
      <c r="D179" s="27" t="inlineStr">
        <is>
          <t>Peruvian</t>
        </is>
      </c>
      <c r="E179" s="27" t="inlineStr">
        <is>
          <t>Main</t>
        </is>
      </c>
      <c r="F179" s="27" t="inlineStr">
        <is>
          <t>Peruvian base, Scottish move: Scotch ale in place of the chicha. A Sunday-morning dish sold as a Sunday-lunch centrepiece.</t>
        </is>
      </c>
      <c r="G179" s="27" t="inlineStr">
        <is>
          <t>Buffet</t>
        </is>
      </c>
      <c r="H179" s="27" t="inlineStr">
        <is>
          <t>Yes</t>
        </is>
      </c>
      <c r="I179" s="27" t="inlineStr">
        <is>
          <t>No</t>
        </is>
      </c>
      <c r="J179" s="27" t="inlineStr">
        <is>
          <t>Cerdo, aji panca, cerveza, rocoto</t>
        </is>
      </c>
      <c r="K179" s="27" t="inlineStr">
        <is>
          <t>Artisanal butcher; Surquillo N.1</t>
        </is>
      </c>
      <c r="L179" s="28" t="n">
        <v>8.5</v>
      </c>
      <c r="M179" s="29" t="n">
        <v>30</v>
      </c>
      <c r="N179" s="30">
        <f>IFERROR(L179/M179,"")</f>
        <v/>
      </c>
      <c r="O179" s="31" t="inlineStr">
        <is>
          <t>No - estimate</t>
        </is>
      </c>
      <c r="P179" s="31">
        <f>IF(N179="","",IF(N179&gt;0.32,"Reprice or resource",IF(N179&lt;0.2,"Check cost is realistic","OK")))</f>
        <v/>
      </c>
    </row>
    <row r="180">
      <c r="A180" s="27" t="n">
        <v>179</v>
      </c>
      <c r="B180" s="27" t="inlineStr">
        <is>
          <t>Tacu Tacu con Morcilla</t>
        </is>
      </c>
      <c r="C180" s="27" t="inlineStr">
        <is>
          <t>Tacu tacu</t>
        </is>
      </c>
      <c r="D180" s="27" t="inlineStr">
        <is>
          <t>Peruvian</t>
        </is>
      </c>
      <c r="E180" s="27" t="inlineStr">
        <is>
          <t>Main</t>
        </is>
      </c>
      <c r="F180" s="27" t="inlineStr">
        <is>
          <t>Peruvian base, Scottish move: morcilla folded through the rice and bean cake and crisped in the same pan.</t>
        </is>
      </c>
      <c r="G180" s="27" t="inlineStr">
        <is>
          <t>Live station</t>
        </is>
      </c>
      <c r="H180" s="27" t="inlineStr">
        <is>
          <t>No</t>
        </is>
      </c>
      <c r="I180" s="27" t="inlineStr">
        <is>
          <t>No</t>
        </is>
      </c>
      <c r="J180" s="27" t="inlineStr">
        <is>
          <t>Arroz, frejol, morcilla, aji amarillo</t>
        </is>
      </c>
      <c r="K180" s="27" t="inlineStr">
        <is>
          <t>Makro; artisanal butcher</t>
        </is>
      </c>
      <c r="L180" s="28" t="n">
        <v>7</v>
      </c>
      <c r="M180" s="29" t="n">
        <v>26</v>
      </c>
      <c r="N180" s="30">
        <f>IFERROR(L180/M180,"")</f>
        <v/>
      </c>
      <c r="O180" s="31" t="inlineStr">
        <is>
          <t>No - estimate</t>
        </is>
      </c>
      <c r="P180" s="31">
        <f>IF(N180="","",IF(N180&gt;0.32,"Reprice or resource",IF(N180&lt;0.2,"Check cost is realistic","OK")))</f>
        <v/>
      </c>
    </row>
    <row r="181">
      <c r="A181" s="27" t="n">
        <v>180</v>
      </c>
      <c r="B181" s="27" t="inlineStr">
        <is>
          <t>Sopa Criolla con Avena</t>
        </is>
      </c>
      <c r="C181" s="27" t="inlineStr">
        <is>
          <t>Sopa criolla</t>
        </is>
      </c>
      <c r="D181" s="27" t="inlineStr">
        <is>
          <t>Peruvian</t>
        </is>
      </c>
      <c r="E181" s="27" t="inlineStr">
        <is>
          <t>Main</t>
        </is>
      </c>
      <c r="F181" s="27" t="inlineStr">
        <is>
          <t>Peruvian base, Scottish move: pinhead oats carry the body where the noodles usually do. Faster and it holds far better.</t>
        </is>
      </c>
      <c r="G181" s="27" t="inlineStr">
        <is>
          <t>Buffet</t>
        </is>
      </c>
      <c r="H181" s="27" t="inlineStr">
        <is>
          <t>No</t>
        </is>
      </c>
      <c r="I181" s="27" t="inlineStr">
        <is>
          <t>No</t>
        </is>
      </c>
      <c r="J181" s="27" t="inlineStr">
        <is>
          <t>Carne, avena, leche, aji panca, huevo</t>
        </is>
      </c>
      <c r="K181" s="27" t="inlineStr">
        <is>
          <t>Makro; Surquillo N.1</t>
        </is>
      </c>
      <c r="L181" s="28" t="n">
        <v>5.5</v>
      </c>
      <c r="M181" s="29" t="n">
        <v>21</v>
      </c>
      <c r="N181" s="30">
        <f>IFERROR(L181/M181,"")</f>
        <v/>
      </c>
      <c r="O181" s="31" t="inlineStr">
        <is>
          <t>No - estimate</t>
        </is>
      </c>
      <c r="P181" s="31">
        <f>IF(N181="","",IF(N181&gt;0.32,"Reprice or resource",IF(N181&lt;0.2,"Check cost is realistic","OK")))</f>
        <v/>
      </c>
    </row>
    <row r="182">
      <c r="A182" s="27" t="n">
        <v>181</v>
      </c>
      <c r="B182" s="27" t="inlineStr">
        <is>
          <t>Chupe de Zapallo Loche</t>
        </is>
      </c>
      <c r="C182" s="27" t="inlineStr">
        <is>
          <t>Chupe</t>
        </is>
      </c>
      <c r="D182" s="27" t="inlineStr">
        <is>
          <t>Peruvian</t>
        </is>
      </c>
      <c r="E182" s="27" t="inlineStr">
        <is>
          <t>Bowl</t>
        </is>
      </c>
      <c r="F182" s="27" t="inlineStr">
        <is>
          <t>Peruvian base, Scottish move: squash chupe finished with toasted oatmeal instead of cheese and egg. Vegan and it still eats rich.</t>
        </is>
      </c>
      <c r="G182" s="27" t="inlineStr">
        <is>
          <t>Buffet</t>
        </is>
      </c>
      <c r="H182" s="27" t="inlineStr">
        <is>
          <t>No</t>
        </is>
      </c>
      <c r="I182" s="27" t="inlineStr">
        <is>
          <t>Yes</t>
        </is>
      </c>
      <c r="J182" s="27" t="inlineStr">
        <is>
          <t>Zapallo loche, papa amarilla, avena, huacatay</t>
        </is>
      </c>
      <c r="K182" s="27" t="inlineStr">
        <is>
          <t>Surquillo N.1</t>
        </is>
      </c>
      <c r="L182" s="28" t="n">
        <v>4.5</v>
      </c>
      <c r="M182" s="29" t="n">
        <v>17</v>
      </c>
      <c r="N182" s="30">
        <f>IFERROR(L182/M182,"")</f>
        <v/>
      </c>
      <c r="O182" s="31" t="inlineStr">
        <is>
          <t>No - estimate</t>
        </is>
      </c>
      <c r="P182" s="31">
        <f>IF(N182="","",IF(N182&gt;0.32,"Reprice or resource",IF(N182&lt;0.2,"Check cost is realistic","OK")))</f>
        <v/>
      </c>
    </row>
    <row r="183">
      <c r="A183" s="27" t="n">
        <v>182</v>
      </c>
      <c r="B183" s="27" t="inlineStr">
        <is>
          <t>Ensalada de Palta y Berros</t>
        </is>
      </c>
      <c r="C183" s="27" t="inlineStr">
        <is>
          <t>Ensalada de palta</t>
        </is>
      </c>
      <c r="D183" s="27" t="inlineStr">
        <is>
          <t>Peruvian</t>
        </is>
      </c>
      <c r="E183" s="27" t="inlineStr">
        <is>
          <t>Side</t>
        </is>
      </c>
      <c r="F183" s="27" t="inlineStr">
        <is>
          <t>Peruvian base, Scottish move: watercress and a mustard-lime dressing under the avocado. Vegan, and the cheapest green on the sheet.</t>
        </is>
      </c>
      <c r="G183" s="27" t="inlineStr">
        <is>
          <t>Drop-off</t>
        </is>
      </c>
      <c r="H183" s="27" t="inlineStr">
        <is>
          <t>No</t>
        </is>
      </c>
      <c r="I183" s="27" t="inlineStr">
        <is>
          <t>Yes</t>
        </is>
      </c>
      <c r="J183" s="27" t="inlineStr">
        <is>
          <t>Palta, berros, limon, mostaza</t>
        </is>
      </c>
      <c r="K183" s="27" t="inlineStr">
        <is>
          <t>Surquillo N.1</t>
        </is>
      </c>
      <c r="L183" s="28" t="n">
        <v>3.2</v>
      </c>
      <c r="M183" s="29" t="n">
        <v>12</v>
      </c>
      <c r="N183" s="30">
        <f>IFERROR(L183/M183,"")</f>
        <v/>
      </c>
      <c r="O183" s="31" t="inlineStr">
        <is>
          <t>No - estimate</t>
        </is>
      </c>
      <c r="P183" s="31">
        <f>IF(N183="","",IF(N183&gt;0.32,"Reprice or resource",IF(N183&lt;0.2,"Check cost is realistic","OK")))</f>
        <v/>
      </c>
    </row>
    <row r="184">
      <c r="A184" s="27" t="n">
        <v>183</v>
      </c>
      <c r="B184" s="27" t="inlineStr">
        <is>
          <t>Huancaina Escocesa</t>
        </is>
      </c>
      <c r="C184" s="27" t="inlineStr">
        <is>
          <t>Papa a la huancaina</t>
        </is>
      </c>
      <c r="D184" s="27" t="inlineStr">
        <is>
          <t>Peruvian</t>
        </is>
      </c>
      <c r="E184" s="27" t="inlineStr">
        <is>
          <t>Side</t>
        </is>
      </c>
      <c r="F184" s="27" t="inlineStr">
        <is>
          <t>Peruvian base, Scottish move: mature cheddar carries the sauce alongside the queso fresco. Sharper, and it sets firmer for a buffet.</t>
        </is>
      </c>
      <c r="G184" s="27" t="inlineStr">
        <is>
          <t>Buffet</t>
        </is>
      </c>
      <c r="H184" s="27" t="inlineStr">
        <is>
          <t>No</t>
        </is>
      </c>
      <c r="I184" s="27" t="inlineStr">
        <is>
          <t>Yes</t>
        </is>
      </c>
      <c r="J184" s="27" t="inlineStr">
        <is>
          <t>Papa amarilla, aji amarillo, queso cheddar, leche</t>
        </is>
      </c>
      <c r="K184" s="27" t="inlineStr">
        <is>
          <t>Surquillo N.1; Makro</t>
        </is>
      </c>
      <c r="L184" s="28" t="n">
        <v>3.6</v>
      </c>
      <c r="M184" s="29" t="n">
        <v>13</v>
      </c>
      <c r="N184" s="30">
        <f>IFERROR(L184/M184,"")</f>
        <v/>
      </c>
      <c r="O184" s="31" t="inlineStr">
        <is>
          <t>No - estimate</t>
        </is>
      </c>
      <c r="P184" s="31">
        <f>IF(N184="","",IF(N184&gt;0.32,"Reprice or resource",IF(N184&lt;0.2,"Check cost is realistic","OK")))</f>
        <v/>
      </c>
    </row>
    <row r="185">
      <c r="A185" s="27" t="n">
        <v>184</v>
      </c>
      <c r="B185" s="27" t="inlineStr">
        <is>
          <t>Yuca Frita, Huancaina de Muna</t>
        </is>
      </c>
      <c r="C185" s="27" t="inlineStr">
        <is>
          <t>Yuca frita</t>
        </is>
      </c>
      <c r="D185" s="27" t="inlineStr">
        <is>
          <t>Peruvian</t>
        </is>
      </c>
      <c r="E185" s="27" t="inlineStr">
        <is>
          <t>Side</t>
        </is>
      </c>
      <c r="F185" s="27" t="inlineStr">
        <is>
          <t>Peruvian base, Scottish move: muna in the huancaina, which pushes it towards a herb sauce rather than a cheese one.</t>
        </is>
      </c>
      <c r="G185" s="27" t="inlineStr">
        <is>
          <t>Live station</t>
        </is>
      </c>
      <c r="H185" s="27" t="inlineStr">
        <is>
          <t>No</t>
        </is>
      </c>
      <c r="I185" s="27" t="inlineStr">
        <is>
          <t>Yes</t>
        </is>
      </c>
      <c r="J185" s="27" t="inlineStr">
        <is>
          <t>Yuca, aji amarillo, muna, queso fresco</t>
        </is>
      </c>
      <c r="K185" s="27" t="inlineStr">
        <is>
          <t>Surquillo N.1</t>
        </is>
      </c>
      <c r="L185" s="28" t="n">
        <v>2.6</v>
      </c>
      <c r="M185" s="29" t="n">
        <v>10</v>
      </c>
      <c r="N185" s="30">
        <f>IFERROR(L185/M185,"")</f>
        <v/>
      </c>
      <c r="O185" s="31" t="inlineStr">
        <is>
          <t>No - estimate</t>
        </is>
      </c>
      <c r="P185" s="31">
        <f>IF(N185="","",IF(N185&gt;0.32,"Reprice or resource",IF(N185&lt;0.2,"Check cost is realistic","OK")))</f>
        <v/>
      </c>
    </row>
    <row r="186">
      <c r="A186" s="27" t="n">
        <v>185</v>
      </c>
      <c r="B186" s="27" t="inlineStr">
        <is>
          <t>Anticucho de Champinon</t>
        </is>
      </c>
      <c r="C186" s="27" t="inlineStr">
        <is>
          <t>Anticucho</t>
        </is>
      </c>
      <c r="D186" s="27" t="inlineStr">
        <is>
          <t>Peruvian</t>
        </is>
      </c>
      <c r="E186" s="27" t="inlineStr">
        <is>
          <t>Canape</t>
        </is>
      </c>
      <c r="F186" s="27" t="inlineStr">
        <is>
          <t>Peruvian base, Scottish move: field mushrooms in the panca marinade with muna. Vegan, and it outsells the beef heart with a mixed table.</t>
        </is>
      </c>
      <c r="G186" s="27" t="inlineStr">
        <is>
          <t>Live station</t>
        </is>
      </c>
      <c r="H186" s="27" t="inlineStr">
        <is>
          <t>No</t>
        </is>
      </c>
      <c r="I186" s="27" t="inlineStr">
        <is>
          <t>Yes</t>
        </is>
      </c>
      <c r="J186" s="27" t="inlineStr">
        <is>
          <t>Champinones, aji panca, muna, vinagre</t>
        </is>
      </c>
      <c r="K186" s="27" t="inlineStr">
        <is>
          <t>Surquillo N.1</t>
        </is>
      </c>
      <c r="L186" s="28" t="n">
        <v>2.4</v>
      </c>
      <c r="M186" s="29" t="n">
        <v>9</v>
      </c>
      <c r="N186" s="30">
        <f>IFERROR(L186/M186,"")</f>
        <v/>
      </c>
      <c r="O186" s="31" t="inlineStr">
        <is>
          <t>No - estimate</t>
        </is>
      </c>
      <c r="P186" s="31">
        <f>IF(N186="","",IF(N186&gt;0.32,"Reprice or resource",IF(N186&lt;0.2,"Check cost is realistic","OK")))</f>
        <v/>
      </c>
    </row>
    <row r="187">
      <c r="A187" s="27" t="n">
        <v>186</v>
      </c>
      <c r="B187" s="27" t="inlineStr">
        <is>
          <t>Empanada de Lomo Saltado</t>
        </is>
      </c>
      <c r="C187" s="27" t="inlineStr">
        <is>
          <t>Empanada</t>
        </is>
      </c>
      <c r="D187" s="27" t="inlineStr">
        <is>
          <t>Peruvian</t>
        </is>
      </c>
      <c r="E187" s="27" t="inlineStr">
        <is>
          <t>Canape</t>
        </is>
      </c>
      <c r="F187" s="27" t="inlineStr">
        <is>
          <t>Peruvian base, Scottish move: the saltado goes into a bridie-style shortcrust rather than the usual empanada dough.</t>
        </is>
      </c>
      <c r="G187" s="27" t="inlineStr">
        <is>
          <t>Drop-off</t>
        </is>
      </c>
      <c r="H187" s="27" t="inlineStr">
        <is>
          <t>No</t>
        </is>
      </c>
      <c r="I187" s="27" t="inlineStr">
        <is>
          <t>No</t>
        </is>
      </c>
      <c r="J187" s="27" t="inlineStr">
        <is>
          <t>Lomo, cebolla, tomate, sillao, harina</t>
        </is>
      </c>
      <c r="K187" s="27" t="inlineStr">
        <is>
          <t>Makro; Surquillo N.1</t>
        </is>
      </c>
      <c r="L187" s="28" t="n">
        <v>3.2</v>
      </c>
      <c r="M187" s="29" t="n">
        <v>12</v>
      </c>
      <c r="N187" s="30">
        <f>IFERROR(L187/M187,"")</f>
        <v/>
      </c>
      <c r="O187" s="31" t="inlineStr">
        <is>
          <t>No - estimate</t>
        </is>
      </c>
      <c r="P187" s="31">
        <f>IF(N187="","",IF(N187&gt;0.32,"Reprice or resource",IF(N187&lt;0.2,"Check cost is realistic","OK")))</f>
        <v/>
      </c>
    </row>
    <row r="188">
      <c r="A188" s="27" t="n">
        <v>187</v>
      </c>
      <c r="B188" s="27" t="inlineStr">
        <is>
          <t>Pan Chuta, Mantequilla de Muna</t>
        </is>
      </c>
      <c r="C188" s="27" t="inlineStr">
        <is>
          <t>Pan chuta</t>
        </is>
      </c>
      <c r="D188" s="27" t="inlineStr">
        <is>
          <t>Peruvian</t>
        </is>
      </c>
      <c r="E188" s="27" t="inlineStr">
        <is>
          <t>Bakery</t>
        </is>
      </c>
      <c r="F188" s="27" t="inlineStr">
        <is>
          <t>Peruvian base, Scottish move: the Cusco bread served the way a Scottish table serves a bannock, with a whipped herb butter.</t>
        </is>
      </c>
      <c r="G188" s="27" t="inlineStr">
        <is>
          <t>Drop-off</t>
        </is>
      </c>
      <c r="H188" s="27" t="inlineStr">
        <is>
          <t>No</t>
        </is>
      </c>
      <c r="I188" s="27" t="inlineStr">
        <is>
          <t>Yes</t>
        </is>
      </c>
      <c r="J188" s="27" t="inlineStr">
        <is>
          <t>Harina, anis, muna, mantequilla</t>
        </is>
      </c>
      <c r="K188" s="27" t="inlineStr">
        <is>
          <t>Makro; Surquillo N.1</t>
        </is>
      </c>
      <c r="L188" s="28" t="n">
        <v>2.2</v>
      </c>
      <c r="M188" s="29" t="n">
        <v>8</v>
      </c>
      <c r="N188" s="30">
        <f>IFERROR(L188/M188,"")</f>
        <v/>
      </c>
      <c r="O188" s="31" t="inlineStr">
        <is>
          <t>No - estimate</t>
        </is>
      </c>
      <c r="P188" s="31">
        <f>IF(N188="","",IF(N188&gt;0.32,"Reprice or resource",IF(N188&lt;0.2,"Check cost is realistic","OK")))</f>
        <v/>
      </c>
    </row>
    <row r="189">
      <c r="A189" s="27" t="n">
        <v>188</v>
      </c>
      <c r="B189" s="27" t="inlineStr">
        <is>
          <t>Mazamorra Morada, Oat Crumble</t>
        </is>
      </c>
      <c r="C189" s="27" t="inlineStr">
        <is>
          <t>Mazamorra morada</t>
        </is>
      </c>
      <c r="D189" s="27" t="inlineStr">
        <is>
          <t>Peruvian</t>
        </is>
      </c>
      <c r="E189" s="27" t="inlineStr">
        <is>
          <t>Dessert</t>
        </is>
      </c>
      <c r="F189" s="27" t="inlineStr">
        <is>
          <t>Peruvian base, Scottish move: an oat crumble scattered over at the last second. Vegan, and the crumble is what stops it being one texture.</t>
        </is>
      </c>
      <c r="G189" s="27" t="inlineStr">
        <is>
          <t>Buffet</t>
        </is>
      </c>
      <c r="H189" s="27" t="inlineStr">
        <is>
          <t>No</t>
        </is>
      </c>
      <c r="I189" s="27" t="inlineStr">
        <is>
          <t>Yes</t>
        </is>
      </c>
      <c r="J189" s="27" t="inlineStr">
        <is>
          <t>Maiz morado, membrillo, pina, avena</t>
        </is>
      </c>
      <c r="K189" s="27" t="inlineStr">
        <is>
          <t>Surquillo N.1</t>
        </is>
      </c>
      <c r="L189" s="28" t="n">
        <v>3</v>
      </c>
      <c r="M189" s="29" t="n">
        <v>11</v>
      </c>
      <c r="N189" s="30">
        <f>IFERROR(L189/M189,"")</f>
        <v/>
      </c>
      <c r="O189" s="31" t="inlineStr">
        <is>
          <t>No - estimate</t>
        </is>
      </c>
      <c r="P189" s="31">
        <f>IF(N189="","",IF(N189&gt;0.32,"Reprice or resource",IF(N189&lt;0.2,"Check cost is realistic","OK")))</f>
        <v/>
      </c>
    </row>
    <row r="190">
      <c r="A190" s="27" t="n">
        <v>189</v>
      </c>
      <c r="B190" s="27" t="inlineStr">
        <is>
          <t>Arroz con Leche, Whisky</t>
        </is>
      </c>
      <c r="C190" s="27" t="inlineStr">
        <is>
          <t>Arroz con leche</t>
        </is>
      </c>
      <c r="D190" s="27" t="inlineStr">
        <is>
          <t>Peruvian</t>
        </is>
      </c>
      <c r="E190" s="27" t="inlineStr">
        <is>
          <t>Dessert</t>
        </is>
      </c>
      <c r="F190" s="27" t="inlineStr">
        <is>
          <t>Peruvian base, Scottish move: whisky and a burnt-sugar top. Served cold in pots, it is the easiest dessert here to scale.</t>
        </is>
      </c>
      <c r="G190" s="27" t="inlineStr">
        <is>
          <t>Drop-off</t>
        </is>
      </c>
      <c r="H190" s="27" t="inlineStr">
        <is>
          <t>Yes</t>
        </is>
      </c>
      <c r="I190" s="27" t="inlineStr">
        <is>
          <t>Yes</t>
        </is>
      </c>
      <c r="J190" s="27" t="inlineStr">
        <is>
          <t>Arroz, leche, canela, whisky</t>
        </is>
      </c>
      <c r="K190" s="27" t="inlineStr">
        <is>
          <t>Makro</t>
        </is>
      </c>
      <c r="L190" s="28" t="n">
        <v>2.8</v>
      </c>
      <c r="M190" s="29" t="n">
        <v>11</v>
      </c>
      <c r="N190" s="30">
        <f>IFERROR(L190/M190,"")</f>
        <v/>
      </c>
      <c r="O190" s="31" t="inlineStr">
        <is>
          <t>No - estimate</t>
        </is>
      </c>
      <c r="P190" s="31">
        <f>IF(N190="","",IF(N190&gt;0.32,"Reprice or resource",IF(N190&lt;0.2,"Check cost is realistic","OK")))</f>
        <v/>
      </c>
    </row>
    <row r="191">
      <c r="A191" s="27" t="n">
        <v>190</v>
      </c>
      <c r="B191" s="27" t="inlineStr">
        <is>
          <t>King Kong de Lucuma</t>
        </is>
      </c>
      <c r="C191" s="27" t="inlineStr">
        <is>
          <t>King Kong</t>
        </is>
      </c>
      <c r="D191" s="27" t="inlineStr">
        <is>
          <t>Peruvian</t>
        </is>
      </c>
      <c r="E191" s="27" t="inlineStr">
        <is>
          <t>Bakery</t>
        </is>
      </c>
      <c r="F191" s="27" t="inlineStr">
        <is>
          <t>Peruvian base, Scottish move: shortbread-proportion biscuit layers with lucuma manjar. Firmer than the Lambayeque original and it boxes.</t>
        </is>
      </c>
      <c r="G191" s="27" t="inlineStr">
        <is>
          <t>Drop-off</t>
        </is>
      </c>
      <c r="H191" s="27" t="inlineStr">
        <is>
          <t>No</t>
        </is>
      </c>
      <c r="I191" s="27" t="inlineStr">
        <is>
          <t>Yes</t>
        </is>
      </c>
      <c r="J191" s="27" t="inlineStr">
        <is>
          <t>Harina, mantequilla, manjar blanco, lucuma</t>
        </is>
      </c>
      <c r="K191" s="27" t="inlineStr">
        <is>
          <t>Makro; Surquillo N.1</t>
        </is>
      </c>
      <c r="L191" s="28" t="n">
        <v>3.4</v>
      </c>
      <c r="M191" s="29" t="n">
        <v>13</v>
      </c>
      <c r="N191" s="30">
        <f>IFERROR(L191/M191,"")</f>
        <v/>
      </c>
      <c r="O191" s="31" t="inlineStr">
        <is>
          <t>No - estimate</t>
        </is>
      </c>
      <c r="P191" s="31">
        <f>IF(N191="","",IF(N191&gt;0.32,"Reprice or resource",IF(N191&lt;0.2,"Check cost is realistic","OK")))</f>
        <v/>
      </c>
    </row>
    <row r="192">
      <c r="A192" s="27" t="n">
        <v>191</v>
      </c>
      <c r="B192" s="27" t="inlineStr">
        <is>
          <t>Champus de Chirimoya</t>
        </is>
      </c>
      <c r="C192" s="27" t="inlineStr">
        <is>
          <t>Champus</t>
        </is>
      </c>
      <c r="D192" s="27" t="inlineStr">
        <is>
          <t>Peruvian</t>
        </is>
      </c>
      <c r="E192" s="27" t="inlineStr">
        <is>
          <t>Dessert</t>
        </is>
      </c>
      <c r="F192" s="27" t="inlineStr">
        <is>
          <t>Peruvian base, Scottish move: oats in the champus alongside the maiz morado. Vegan, served warm, and it is a winter product.</t>
        </is>
      </c>
      <c r="G192" s="27" t="inlineStr">
        <is>
          <t>Buffet</t>
        </is>
      </c>
      <c r="H192" s="27" t="inlineStr">
        <is>
          <t>No</t>
        </is>
      </c>
      <c r="I192" s="27" t="inlineStr">
        <is>
          <t>Yes</t>
        </is>
      </c>
      <c r="J192" s="27" t="inlineStr">
        <is>
          <t>Maiz morado, chirimoya, membrillo, avena</t>
        </is>
      </c>
      <c r="K192" s="27" t="inlineStr">
        <is>
          <t>Surquillo N.1</t>
        </is>
      </c>
      <c r="L192" s="28" t="n">
        <v>3.2</v>
      </c>
      <c r="M192" s="29" t="n">
        <v>12</v>
      </c>
      <c r="N192" s="30">
        <f>IFERROR(L192/M192,"")</f>
        <v/>
      </c>
      <c r="O192" s="31" t="inlineStr">
        <is>
          <t>No - estimate</t>
        </is>
      </c>
      <c r="P192" s="31">
        <f>IF(N192="","",IF(N192&gt;0.32,"Reprice or resource",IF(N192&lt;0.2,"Check cost is realistic","OK")))</f>
        <v/>
      </c>
    </row>
    <row r="193">
      <c r="A193" s="27" t="n">
        <v>192</v>
      </c>
      <c r="B193" s="27" t="inlineStr">
        <is>
          <t>Arbroath Smokie Pate, Rocoto</t>
        </is>
      </c>
      <c r="C193" s="27" t="inlineStr">
        <is>
          <t>Arbroath smokie</t>
        </is>
      </c>
      <c r="D193" s="27" t="inlineStr">
        <is>
          <t>Scottish</t>
        </is>
      </c>
      <c r="E193" s="27" t="inlineStr">
        <is>
          <t>Canape</t>
        </is>
      </c>
      <c r="F193" s="27" t="inlineStr">
        <is>
          <t>Hot-smoked Andean trout stands in for the Arbroath smokie - the same hard smoke, from a fish that reaches Lima fresh. Rocoto in the butter is the heat the original never had.</t>
        </is>
      </c>
      <c r="G193" s="27" t="inlineStr">
        <is>
          <t>Drop-off</t>
        </is>
      </c>
      <c r="H193" s="27" t="inlineStr">
        <is>
          <t>No</t>
        </is>
      </c>
      <c r="I193" s="27" t="inlineStr">
        <is>
          <t>No</t>
        </is>
      </c>
      <c r="J193" s="27" t="inlineStr">
        <is>
          <t>Trucha ahumada, rocoto, mantequilla, limon</t>
        </is>
      </c>
      <c r="K193" s="27" t="inlineStr">
        <is>
          <t>Terminal Pesquero; Surquillo N.1</t>
        </is>
      </c>
      <c r="L193" s="28" t="n">
        <v>1.9</v>
      </c>
      <c r="M193" s="29" t="n">
        <v>8</v>
      </c>
      <c r="N193" s="30">
        <f>IFERROR(L193/M193,"")</f>
        <v/>
      </c>
      <c r="O193" s="31" t="inlineStr">
        <is>
          <t>No - estimate</t>
        </is>
      </c>
      <c r="P193" s="31">
        <f>IF(N193="","",IF(N193&gt;0.32,"Reprice or resource",IF(N193&lt;0.2,"Check cost is realistic","OK")))</f>
        <v/>
      </c>
    </row>
    <row r="194">
      <c r="A194" s="27" t="n">
        <v>193</v>
      </c>
      <c r="B194" s="27" t="inlineStr">
        <is>
          <t>Partan Bree Shots</t>
        </is>
      </c>
      <c r="C194" s="27" t="inlineStr">
        <is>
          <t>Partan bree</t>
        </is>
      </c>
      <c r="D194" s="27" t="inlineStr">
        <is>
          <t>Scottish</t>
        </is>
      </c>
      <c r="E194" s="27" t="inlineStr">
        <is>
          <t>Canape</t>
        </is>
      </c>
      <c r="F194" s="27" t="inlineStr">
        <is>
          <t>The Aberdeenshire crab soup poured into shot glasses, thickened with rice as the original is, and finished with choclo instead of croutons.</t>
        </is>
      </c>
      <c r="G194" s="27" t="inlineStr">
        <is>
          <t>Buffet</t>
        </is>
      </c>
      <c r="H194" s="27" t="inlineStr">
        <is>
          <t>No</t>
        </is>
      </c>
      <c r="I194" s="27" t="inlineStr">
        <is>
          <t>No</t>
        </is>
      </c>
      <c r="J194" s="27" t="inlineStr">
        <is>
          <t>Cangrejo, arroz, choclo, leche</t>
        </is>
      </c>
      <c r="K194" s="27" t="inlineStr">
        <is>
          <t>Terminal Pesquero</t>
        </is>
      </c>
      <c r="L194" s="28" t="n">
        <v>2</v>
      </c>
      <c r="M194" s="29" t="n">
        <v>8</v>
      </c>
      <c r="N194" s="30">
        <f>IFERROR(L194/M194,"")</f>
        <v/>
      </c>
      <c r="O194" s="31" t="inlineStr">
        <is>
          <t>No - estimate</t>
        </is>
      </c>
      <c r="P194" s="31">
        <f>IF(N194="","",IF(N194&gt;0.32,"Reprice or resource",IF(N194&lt;0.2,"Check cost is realistic","OK")))</f>
        <v/>
      </c>
    </row>
    <row r="195">
      <c r="A195" s="27" t="n">
        <v>194</v>
      </c>
      <c r="B195" s="27" t="inlineStr">
        <is>
          <t>Skirlie Mushroom Caps</t>
        </is>
      </c>
      <c r="C195" s="27" t="inlineStr">
        <is>
          <t>Skirlie</t>
        </is>
      </c>
      <c r="D195" s="27" t="inlineStr">
        <is>
          <t>Scottish</t>
        </is>
      </c>
      <c r="E195" s="27" t="inlineStr">
        <is>
          <t>Canape</t>
        </is>
      </c>
      <c r="F195" s="27" t="inlineStr">
        <is>
          <t>Quinoa skirlie packed into field mushrooms with aji amarillo. Vegetarian, and the toasted oats do the work the sausage meat would.</t>
        </is>
      </c>
      <c r="G195" s="27" t="inlineStr">
        <is>
          <t>Drop-off</t>
        </is>
      </c>
      <c r="H195" s="27" t="inlineStr">
        <is>
          <t>No</t>
        </is>
      </c>
      <c r="I195" s="27" t="inlineStr">
        <is>
          <t>Yes</t>
        </is>
      </c>
      <c r="J195" s="27" t="inlineStr">
        <is>
          <t>Champinones, quinua, aji amarillo, avena</t>
        </is>
      </c>
      <c r="K195" s="27" t="inlineStr">
        <is>
          <t>Surquillo N.1</t>
        </is>
      </c>
      <c r="L195" s="28" t="n">
        <v>1.2</v>
      </c>
      <c r="M195" s="29" t="n">
        <v>5</v>
      </c>
      <c r="N195" s="30">
        <f>IFERROR(L195/M195,"")</f>
        <v/>
      </c>
      <c r="O195" s="31" t="inlineStr">
        <is>
          <t>No - estimate</t>
        </is>
      </c>
      <c r="P195" s="31">
        <f>IF(N195="","",IF(N195&gt;0.32,"Reprice or resource",IF(N195&lt;0.2,"Check cost is realistic","OK")))</f>
        <v/>
      </c>
    </row>
    <row r="196">
      <c r="A196" s="27" t="n">
        <v>195</v>
      </c>
      <c r="B196" s="27" t="inlineStr">
        <is>
          <t>Venison &amp; Juniper Sausage Rolls</t>
        </is>
      </c>
      <c r="C196" s="27" t="inlineStr">
        <is>
          <t>Venison sausage roll</t>
        </is>
      </c>
      <c r="D196" s="27" t="inlineStr">
        <is>
          <t>Scottish</t>
        </is>
      </c>
      <c r="E196" s="27" t="inlineStr">
        <is>
          <t>Canape</t>
        </is>
      </c>
      <c r="F196" s="27" t="inlineStr">
        <is>
          <t>Alpaca replaces the Highland venison - lean, dark, and the closest thing Peru raises to it. Juniper and a little pork fat keep it from drying out in the oven.</t>
        </is>
      </c>
      <c r="G196" s="27" t="inlineStr">
        <is>
          <t>Drop-off</t>
        </is>
      </c>
      <c r="H196" s="27" t="inlineStr">
        <is>
          <t>No</t>
        </is>
      </c>
      <c r="I196" s="27" t="inlineStr">
        <is>
          <t>No</t>
        </is>
      </c>
      <c r="J196" s="27" t="inlineStr">
        <is>
          <t>Alpaca, enebro, panceta, hojaldre</t>
        </is>
      </c>
      <c r="K196" s="27" t="inlineStr">
        <is>
          <t>Mercado de Magdalena; Makro</t>
        </is>
      </c>
      <c r="L196" s="28" t="n">
        <v>1.7</v>
      </c>
      <c r="M196" s="29" t="n">
        <v>7</v>
      </c>
      <c r="N196" s="30">
        <f>IFERROR(L196/M196,"")</f>
        <v/>
      </c>
      <c r="O196" s="31" t="inlineStr">
        <is>
          <t>No - estimate</t>
        </is>
      </c>
      <c r="P196" s="31">
        <f>IF(N196="","",IF(N196&gt;0.32,"Reprice or resource",IF(N196&lt;0.2,"Check cost is realistic","OK")))</f>
        <v/>
      </c>
    </row>
    <row r="197">
      <c r="A197" s="27" t="n">
        <v>196</v>
      </c>
      <c r="B197" s="27" t="inlineStr">
        <is>
          <t>Musselburgh Pie Minis</t>
        </is>
      </c>
      <c r="C197" s="27" t="inlineStr">
        <is>
          <t>Musselburgh pie</t>
        </is>
      </c>
      <c r="D197" s="27" t="inlineStr">
        <is>
          <t>Scottish</t>
        </is>
      </c>
      <c r="E197" s="27" t="inlineStr">
        <is>
          <t>Canape</t>
        </is>
      </c>
      <c r="F197" s="27" t="inlineStr">
        <is>
          <t>Steak and oyster in a raised crust; conchas de abanico take the oyster's place. The scallop veda closes it for part of the year, which the planner flags before it is quoted.</t>
        </is>
      </c>
      <c r="G197" s="27" t="inlineStr">
        <is>
          <t>Drop-off</t>
        </is>
      </c>
      <c r="H197" s="27" t="inlineStr">
        <is>
          <t>No</t>
        </is>
      </c>
      <c r="I197" s="27" t="inlineStr">
        <is>
          <t>No</t>
        </is>
      </c>
      <c r="J197" s="27" t="inlineStr">
        <is>
          <t>Asado de tira, conchas de abanico, cerveza negra</t>
        </is>
      </c>
      <c r="K197" s="27" t="inlineStr">
        <is>
          <t>Terminal Pesquero; Makro</t>
        </is>
      </c>
      <c r="L197" s="28" t="n">
        <v>2.1</v>
      </c>
      <c r="M197" s="29" t="n">
        <v>8</v>
      </c>
      <c r="N197" s="30">
        <f>IFERROR(L197/M197,"")</f>
        <v/>
      </c>
      <c r="O197" s="31" t="inlineStr">
        <is>
          <t>No - estimate</t>
        </is>
      </c>
      <c r="P197" s="31">
        <f>IF(N197="","",IF(N197&gt;0.32,"Reprice or resource",IF(N197&lt;0.2,"Check cost is realistic","OK")))</f>
        <v/>
      </c>
    </row>
    <row r="198">
      <c r="A198" s="27" t="n">
        <v>197</v>
      </c>
      <c r="B198" s="27" t="inlineStr">
        <is>
          <t>Mealie Pudding Bites, Aji Amarillo</t>
        </is>
      </c>
      <c r="C198" s="27" t="inlineStr">
        <is>
          <t>Mealie pudding</t>
        </is>
      </c>
      <c r="D198" s="27" t="inlineStr">
        <is>
          <t>Scottish</t>
        </is>
      </c>
      <c r="E198" s="27" t="inlineStr">
        <is>
          <t>Canape</t>
        </is>
      </c>
      <c r="F198" s="27" t="inlineStr">
        <is>
          <t>The oat pudding with no blood in it, rolled small and fried, with an aji amarillo dip. Cheapest piece on the canape list by a distance.</t>
        </is>
      </c>
      <c r="G198" s="27" t="inlineStr">
        <is>
          <t>Drop-off</t>
        </is>
      </c>
      <c r="H198" s="27" t="inlineStr">
        <is>
          <t>No</t>
        </is>
      </c>
      <c r="I198" s="27" t="inlineStr">
        <is>
          <t>No</t>
        </is>
      </c>
      <c r="J198" s="27" t="inlineStr">
        <is>
          <t>Avena, cebolla, sebo, aji amarillo</t>
        </is>
      </c>
      <c r="K198" s="27" t="inlineStr">
        <is>
          <t>Makro; Surquillo N.1</t>
        </is>
      </c>
      <c r="L198" s="28" t="n">
        <v>0.5</v>
      </c>
      <c r="M198" s="29" t="n">
        <v>2</v>
      </c>
      <c r="N198" s="30">
        <f>IFERROR(L198/M198,"")</f>
        <v/>
      </c>
      <c r="O198" s="31" t="inlineStr">
        <is>
          <t>No - estimate</t>
        </is>
      </c>
      <c r="P198" s="31">
        <f>IF(N198="","",IF(N198&gt;0.32,"Reprice or resource",IF(N198&lt;0.2,"Check cost is realistic","OK")))</f>
        <v/>
      </c>
    </row>
    <row r="199">
      <c r="A199" s="27" t="n">
        <v>198</v>
      </c>
      <c r="B199" s="27" t="inlineStr">
        <is>
          <t>Haggis, Neeps &amp; Tatties</t>
        </is>
      </c>
      <c r="C199" s="27" t="inlineStr">
        <is>
          <t>Haggis</t>
        </is>
      </c>
      <c r="D199" s="27" t="inlineStr">
        <is>
          <t>Scottish</t>
        </is>
      </c>
      <c r="E199" s="27" t="inlineStr">
        <is>
          <t>Main</t>
        </is>
      </c>
      <c r="F199" s="27" t="inlineStr">
        <is>
          <t>The plate itself, unaltered in shape. Papa amarilla goes into the tatties and the whisky sauce carries chancaca, so the sweetness is Peruvian and the structure is not.</t>
        </is>
      </c>
      <c r="G199" s="27" t="inlineStr">
        <is>
          <t>Plated</t>
        </is>
      </c>
      <c r="H199" s="27" t="inlineStr">
        <is>
          <t>Yes</t>
        </is>
      </c>
      <c r="I199" s="27" t="inlineStr">
        <is>
          <t>No</t>
        </is>
      </c>
      <c r="J199" s="27" t="inlineStr">
        <is>
          <t>Haggis, nabo, papa amarilla, whisky</t>
        </is>
      </c>
      <c r="K199" s="27" t="inlineStr">
        <is>
          <t>Mercado de Magdalena; Makro</t>
        </is>
      </c>
      <c r="L199" s="28" t="n">
        <v>9.699999999999999</v>
      </c>
      <c r="M199" s="29" t="n">
        <v>40</v>
      </c>
      <c r="N199" s="30">
        <f>IFERROR(L199/M199,"")</f>
        <v/>
      </c>
      <c r="O199" s="31" t="inlineStr">
        <is>
          <t>No - estimate</t>
        </is>
      </c>
      <c r="P199" s="31">
        <f>IF(N199="","",IF(N199&gt;0.32,"Reprice or resource",IF(N199&lt;0.2,"Check cost is realistic","OK")))</f>
        <v/>
      </c>
    </row>
    <row r="200">
      <c r="A200" s="27" t="n">
        <v>199</v>
      </c>
      <c r="B200" s="27" t="inlineStr">
        <is>
          <t>Vegetarian Haggis, Quinoa</t>
        </is>
      </c>
      <c r="C200" s="27" t="inlineStr">
        <is>
          <t>Haggis</t>
        </is>
      </c>
      <c r="D200" s="27" t="inlineStr">
        <is>
          <t>Scottish</t>
        </is>
      </c>
      <c r="E200" s="27" t="inlineStr">
        <is>
          <t>Main</t>
        </is>
      </c>
      <c r="F200" s="27" t="inlineStr">
        <is>
          <t>Quinoa, kiwicha, lentils and oats built to the same spice line as the meat haggis. It sells to more of the room than the original and costs half as much to make.</t>
        </is>
      </c>
      <c r="G200" s="27" t="inlineStr">
        <is>
          <t>Buffet</t>
        </is>
      </c>
      <c r="H200" s="27" t="inlineStr">
        <is>
          <t>No</t>
        </is>
      </c>
      <c r="I200" s="27" t="inlineStr">
        <is>
          <t>Yes</t>
        </is>
      </c>
      <c r="J200" s="27" t="inlineStr">
        <is>
          <t>Quinua, kiwicha, avena, nabo</t>
        </is>
      </c>
      <c r="K200" s="27" t="inlineStr">
        <is>
          <t>Surquillo N.1; Makro</t>
        </is>
      </c>
      <c r="L200" s="28" t="n">
        <v>2.1</v>
      </c>
      <c r="M200" s="29" t="n">
        <v>8</v>
      </c>
      <c r="N200" s="30">
        <f>IFERROR(L200/M200,"")</f>
        <v/>
      </c>
      <c r="O200" s="31" t="inlineStr">
        <is>
          <t>No - estimate</t>
        </is>
      </c>
      <c r="P200" s="31">
        <f>IF(N200="","",IF(N200&gt;0.32,"Reprice or resource",IF(N200&lt;0.2,"Check cost is realistic","OK")))</f>
        <v/>
      </c>
    </row>
    <row r="201">
      <c r="A201" s="27" t="n">
        <v>200</v>
      </c>
      <c r="B201" s="27" t="inlineStr">
        <is>
          <t>Beef Olives, Aji Panca</t>
        </is>
      </c>
      <c r="C201" s="27" t="inlineStr">
        <is>
          <t>Beef olives</t>
        </is>
      </c>
      <c r="D201" s="27" t="inlineStr">
        <is>
          <t>Scottish</t>
        </is>
      </c>
      <c r="E201" s="27" t="inlineStr">
        <is>
          <t>Main</t>
        </is>
      </c>
      <c r="F201" s="27" t="inlineStr">
        <is>
          <t>Thin beef rolled round an oat and onion stuffing and braised long. Aji panca in the braise turns the gravy a colour a Scottish butcher would recognise anyway.</t>
        </is>
      </c>
      <c r="G201" s="27" t="inlineStr">
        <is>
          <t>Buffet</t>
        </is>
      </c>
      <c r="H201" s="27" t="inlineStr">
        <is>
          <t>No</t>
        </is>
      </c>
      <c r="I201" s="27" t="inlineStr">
        <is>
          <t>No</t>
        </is>
      </c>
      <c r="J201" s="27" t="inlineStr">
        <is>
          <t>Carne, avena, cebolla, aji panca</t>
        </is>
      </c>
      <c r="K201" s="27" t="inlineStr">
        <is>
          <t>Mercado de Magdalena; Makro</t>
        </is>
      </c>
      <c r="L201" s="28" t="n">
        <v>6.4</v>
      </c>
      <c r="M201" s="29" t="n">
        <v>25</v>
      </c>
      <c r="N201" s="30">
        <f>IFERROR(L201/M201,"")</f>
        <v/>
      </c>
      <c r="O201" s="31" t="inlineStr">
        <is>
          <t>No - estimate</t>
        </is>
      </c>
      <c r="P201" s="31">
        <f>IF(N201="","",IF(N201&gt;0.32,"Reprice or resource",IF(N201&lt;0.2,"Check cost is realistic","OK")))</f>
        <v/>
      </c>
    </row>
    <row r="202">
      <c r="A202" s="27" t="n">
        <v>201</v>
      </c>
      <c r="B202" s="27" t="inlineStr">
        <is>
          <t>Finnan Haddie, Mustard Cream</t>
        </is>
      </c>
      <c r="C202" s="27" t="inlineStr">
        <is>
          <t>Finnan haddie</t>
        </is>
      </c>
      <c r="D202" s="27" t="inlineStr">
        <is>
          <t>Scottish</t>
        </is>
      </c>
      <c r="E202" s="27" t="inlineStr">
        <is>
          <t>Main</t>
        </is>
      </c>
      <c r="F202" s="27" t="inlineStr">
        <is>
          <t>Cold-smoked haddock has no Lima equivalent, so corvina is smoked to order. Mustard cream and a wholegrain crust; the corvina veda closes it two months a year.</t>
        </is>
      </c>
      <c r="G202" s="27" t="inlineStr">
        <is>
          <t>Plated</t>
        </is>
      </c>
      <c r="H202" s="27" t="inlineStr">
        <is>
          <t>No</t>
        </is>
      </c>
      <c r="I202" s="27" t="inlineStr">
        <is>
          <t>No</t>
        </is>
      </c>
      <c r="J202" s="27" t="inlineStr">
        <is>
          <t>Corvina ahumada, mostaza, crema, papa</t>
        </is>
      </c>
      <c r="K202" s="27" t="inlineStr">
        <is>
          <t>Terminal Pesquero</t>
        </is>
      </c>
      <c r="L202" s="28" t="n">
        <v>10.3</v>
      </c>
      <c r="M202" s="29" t="n">
        <v>40</v>
      </c>
      <c r="N202" s="30">
        <f>IFERROR(L202/M202,"")</f>
        <v/>
      </c>
      <c r="O202" s="31" t="inlineStr">
        <is>
          <t>No - estimate</t>
        </is>
      </c>
      <c r="P202" s="31">
        <f>IF(N202="","",IF(N202&gt;0.32,"Reprice or resource",IF(N202&lt;0.2,"Check cost is realistic","OK")))</f>
        <v/>
      </c>
    </row>
    <row r="203">
      <c r="A203" s="27" t="n">
        <v>202</v>
      </c>
      <c r="B203" s="27" t="inlineStr">
        <is>
          <t>Whole Poached Salmon, Muna</t>
        </is>
      </c>
      <c r="C203" s="27" t="inlineStr">
        <is>
          <t>Poached salmon</t>
        </is>
      </c>
      <c r="D203" s="27" t="inlineStr">
        <is>
          <t>Scottish</t>
        </is>
      </c>
      <c r="E203" s="27" t="inlineStr">
        <is>
          <t>Main</t>
        </is>
      </c>
      <c r="F203" s="27" t="inlineStr">
        <is>
          <t>The centrepiece a Scottish wedding expects, poached in a court-bouillon with muna in place of dill and served cold with a huacatay mayonnaise.</t>
        </is>
      </c>
      <c r="G203" s="27" t="inlineStr">
        <is>
          <t>Buffet</t>
        </is>
      </c>
      <c r="H203" s="27" t="inlineStr">
        <is>
          <t>No</t>
        </is>
      </c>
      <c r="I203" s="27" t="inlineStr">
        <is>
          <t>No</t>
        </is>
      </c>
      <c r="J203" s="27" t="inlineStr">
        <is>
          <t>Salmon, muna, huacatay, limon</t>
        </is>
      </c>
      <c r="K203" s="27" t="inlineStr">
        <is>
          <t>Makro (importado)</t>
        </is>
      </c>
      <c r="L203" s="28" t="n">
        <v>10</v>
      </c>
      <c r="M203" s="29" t="n">
        <v>40</v>
      </c>
      <c r="N203" s="30">
        <f>IFERROR(L203/M203,"")</f>
        <v/>
      </c>
      <c r="O203" s="31" t="inlineStr">
        <is>
          <t>No - estimate</t>
        </is>
      </c>
      <c r="P203" s="31">
        <f>IF(N203="","",IF(N203&gt;0.32,"Reprice or resource",IF(N203&lt;0.2,"Check cost is realistic","OK")))</f>
        <v/>
      </c>
    </row>
    <row r="204">
      <c r="A204" s="27" t="n">
        <v>203</v>
      </c>
      <c r="B204" s="27" t="inlineStr">
        <is>
          <t>Venison &amp; Alpaca Pie, Juniper</t>
        </is>
      </c>
      <c r="C204" s="27" t="inlineStr">
        <is>
          <t>Venison pie</t>
        </is>
      </c>
      <c r="D204" s="27" t="inlineStr">
        <is>
          <t>Scottish</t>
        </is>
      </c>
      <c r="E204" s="27" t="inlineStr">
        <is>
          <t>Main</t>
        </is>
      </c>
      <c r="F204" s="27" t="inlineStr">
        <is>
          <t>Alpaca braised in stout with juniper under a suet crust - the leanest red meat in the country doing the job Highland venison does at home.</t>
        </is>
      </c>
      <c r="G204" s="27" t="inlineStr">
        <is>
          <t>Buffet</t>
        </is>
      </c>
      <c r="H204" s="27" t="inlineStr">
        <is>
          <t>Yes</t>
        </is>
      </c>
      <c r="I204" s="27" t="inlineStr">
        <is>
          <t>No</t>
        </is>
      </c>
      <c r="J204" s="27" t="inlineStr">
        <is>
          <t>Alpaca, cerveza negra, enebro, sebo</t>
        </is>
      </c>
      <c r="K204" s="27" t="inlineStr">
        <is>
          <t>Mercado de Magdalena; Makro</t>
        </is>
      </c>
      <c r="L204" s="28" t="n">
        <v>9.5</v>
      </c>
      <c r="M204" s="29" t="n">
        <v>40</v>
      </c>
      <c r="N204" s="30">
        <f>IFERROR(L204/M204,"")</f>
        <v/>
      </c>
      <c r="O204" s="31" t="inlineStr">
        <is>
          <t>No - estimate</t>
        </is>
      </c>
      <c r="P204" s="31">
        <f>IF(N204="","",IF(N204&gt;0.32,"Reprice or resource",IF(N204&lt;0.2,"Check cost is realistic","OK")))</f>
        <v/>
      </c>
    </row>
    <row r="205">
      <c r="A205" s="27" t="n">
        <v>204</v>
      </c>
      <c r="B205" s="27" t="inlineStr">
        <is>
          <t>Smokie &amp; Choclo Fishcakes</t>
        </is>
      </c>
      <c r="C205" s="27" t="inlineStr">
        <is>
          <t>Fishcake</t>
        </is>
      </c>
      <c r="D205" s="27" t="inlineStr">
        <is>
          <t>Scottish</t>
        </is>
      </c>
      <c r="E205" s="27" t="inlineStr">
        <is>
          <t>Main</t>
        </is>
      </c>
      <c r="F205" s="27" t="inlineStr">
        <is>
          <t>Smoked trout and potato bound tight, crumbed in panko cut with choclo meal. The choclo makes the crust sweeter and coarser than a Scottish chip shop would.</t>
        </is>
      </c>
      <c r="G205" s="27" t="inlineStr">
        <is>
          <t>Buffet</t>
        </is>
      </c>
      <c r="H205" s="27" t="inlineStr">
        <is>
          <t>No</t>
        </is>
      </c>
      <c r="I205" s="27" t="inlineStr">
        <is>
          <t>No</t>
        </is>
      </c>
      <c r="J205" s="27" t="inlineStr">
        <is>
          <t>Trucha ahumada, papa blanca, choclo, panko</t>
        </is>
      </c>
      <c r="K205" s="27" t="inlineStr">
        <is>
          <t>Terminal Pesquero; Surquillo N.1</t>
        </is>
      </c>
      <c r="L205" s="28" t="n">
        <v>5</v>
      </c>
      <c r="M205" s="29" t="n">
        <v>20</v>
      </c>
      <c r="N205" s="30">
        <f>IFERROR(L205/M205,"")</f>
        <v/>
      </c>
      <c r="O205" s="31" t="inlineStr">
        <is>
          <t>No - estimate</t>
        </is>
      </c>
      <c r="P205" s="31">
        <f>IF(N205="","",IF(N205&gt;0.32,"Reprice or resource",IF(N205&lt;0.2,"Check cost is realistic","OK")))</f>
        <v/>
      </c>
    </row>
    <row r="206">
      <c r="A206" s="27" t="n">
        <v>205</v>
      </c>
      <c r="B206" s="27" t="inlineStr">
        <is>
          <t>Bashed Neeps, Chancaca Butter</t>
        </is>
      </c>
      <c r="C206" s="27" t="inlineStr">
        <is>
          <t>Bashed neeps</t>
        </is>
      </c>
      <c r="D206" s="27" t="inlineStr">
        <is>
          <t>Scottish</t>
        </is>
      </c>
      <c r="E206" s="27" t="inlineStr">
        <is>
          <t>Side</t>
        </is>
      </c>
      <c r="F206" s="27" t="inlineStr">
        <is>
          <t>Turnip mashed hard with a chancaca butter stirred through at the end. The molasses note is what Scottish cooks reach for sugar and white pepper to get.</t>
        </is>
      </c>
      <c r="G206" s="27" t="inlineStr">
        <is>
          <t>Buffet</t>
        </is>
      </c>
      <c r="H206" s="27" t="inlineStr">
        <is>
          <t>No</t>
        </is>
      </c>
      <c r="I206" s="27" t="inlineStr">
        <is>
          <t>Yes</t>
        </is>
      </c>
      <c r="J206" s="27" t="inlineStr">
        <is>
          <t>Nabo, chancaca, mantequilla, pimienta</t>
        </is>
      </c>
      <c r="K206" s="27" t="inlineStr">
        <is>
          <t>Surquillo N.1</t>
        </is>
      </c>
      <c r="L206" s="28" t="n">
        <v>1.4</v>
      </c>
      <c r="M206" s="29" t="n">
        <v>6</v>
      </c>
      <c r="N206" s="30">
        <f>IFERROR(L206/M206,"")</f>
        <v/>
      </c>
      <c r="O206" s="31" t="inlineStr">
        <is>
          <t>No - estimate</t>
        </is>
      </c>
      <c r="P206" s="31">
        <f>IF(N206="","",IF(N206&gt;0.32,"Reprice or resource",IF(N206&lt;0.2,"Check cost is realistic","OK")))</f>
        <v/>
      </c>
    </row>
    <row r="207">
      <c r="A207" s="27" t="n">
        <v>206</v>
      </c>
      <c r="B207" s="27" t="inlineStr">
        <is>
          <t>Kale &amp; Oat Crumb Gratin</t>
        </is>
      </c>
      <c r="C207" s="27" t="inlineStr">
        <is>
          <t>Kale gratin</t>
        </is>
      </c>
      <c r="D207" s="27" t="inlineStr">
        <is>
          <t>Scottish</t>
        </is>
      </c>
      <c r="E207" s="27" t="inlineStr">
        <is>
          <t>Side</t>
        </is>
      </c>
      <c r="F207" s="27" t="inlineStr">
        <is>
          <t>Kale under an oat and paria crumb, baked hard. It travels better than any creamed green and reheats without collapsing into water.</t>
        </is>
      </c>
      <c r="G207" s="27" t="inlineStr">
        <is>
          <t>Drop-off</t>
        </is>
      </c>
      <c r="H207" s="27" t="inlineStr">
        <is>
          <t>No</t>
        </is>
      </c>
      <c r="I207" s="27" t="inlineStr">
        <is>
          <t>Yes</t>
        </is>
      </c>
      <c r="J207" s="27" t="inlineStr">
        <is>
          <t>Kale, avena, queso paria, leche</t>
        </is>
      </c>
      <c r="K207" s="27" t="inlineStr">
        <is>
          <t>Surquillo N.1; Makro</t>
        </is>
      </c>
      <c r="L207" s="28" t="n">
        <v>2.4</v>
      </c>
      <c r="M207" s="29" t="n">
        <v>9</v>
      </c>
      <c r="N207" s="30">
        <f>IFERROR(L207/M207,"")</f>
        <v/>
      </c>
      <c r="O207" s="31" t="inlineStr">
        <is>
          <t>No - estimate</t>
        </is>
      </c>
      <c r="P207" s="31">
        <f>IF(N207="","",IF(N207&gt;0.32,"Reprice or resource",IF(N207&lt;0.2,"Check cost is realistic","OK")))</f>
        <v/>
      </c>
    </row>
    <row r="208">
      <c r="A208" s="27" t="n">
        <v>207</v>
      </c>
      <c r="B208" s="27" t="inlineStr">
        <is>
          <t>Ayrshire Potatoes, Huacatay Butter</t>
        </is>
      </c>
      <c r="C208" s="27" t="inlineStr">
        <is>
          <t>New potatoes</t>
        </is>
      </c>
      <c r="D208" s="27" t="inlineStr">
        <is>
          <t>Scottish</t>
        </is>
      </c>
      <c r="E208" s="27" t="inlineStr">
        <is>
          <t>Side</t>
        </is>
      </c>
      <c r="F208" s="27" t="inlineStr">
        <is>
          <t>Small waxy potatoes boiled in their skins and rolled in huacatay butter. Papa nativa gives them colours an Ayrshire crop never had.</t>
        </is>
      </c>
      <c r="G208" s="27" t="inlineStr">
        <is>
          <t>Buffet</t>
        </is>
      </c>
      <c r="H208" s="27" t="inlineStr">
        <is>
          <t>No</t>
        </is>
      </c>
      <c r="I208" s="27" t="inlineStr">
        <is>
          <t>Yes</t>
        </is>
      </c>
      <c r="J208" s="27" t="inlineStr">
        <is>
          <t>Papa nativa, huacatay, mantequilla, sal de Maras</t>
        </is>
      </c>
      <c r="K208" s="27" t="inlineStr">
        <is>
          <t>Surquillo N.1</t>
        </is>
      </c>
      <c r="L208" s="28" t="n">
        <v>2</v>
      </c>
      <c r="M208" s="29" t="n">
        <v>8</v>
      </c>
      <c r="N208" s="30">
        <f>IFERROR(L208/M208,"")</f>
        <v/>
      </c>
      <c r="O208" s="31" t="inlineStr">
        <is>
          <t>No - estimate</t>
        </is>
      </c>
      <c r="P208" s="31">
        <f>IF(N208="","",IF(N208&gt;0.32,"Reprice or resource",IF(N208&lt;0.2,"Check cost is realistic","OK")))</f>
        <v/>
      </c>
    </row>
    <row r="209">
      <c r="A209" s="27" t="n">
        <v>208</v>
      </c>
      <c r="B209" s="27" t="inlineStr">
        <is>
          <t>Barley Bannocks, Muna Butter</t>
        </is>
      </c>
      <c r="C209" s="27" t="inlineStr">
        <is>
          <t>Bannock</t>
        </is>
      </c>
      <c r="D209" s="27" t="inlineStr">
        <is>
          <t>Scottish</t>
        </is>
      </c>
      <c r="E209" s="27" t="inlineStr">
        <is>
          <t>Side</t>
        </is>
      </c>
      <c r="F209" s="27" t="inlineStr">
        <is>
          <t>Griddled barley bannocks - the bread that predates the oven in Scotland - with a whipped muna butter. Warm they are a side; cold they are a canape base.</t>
        </is>
      </c>
      <c r="G209" s="27" t="inlineStr">
        <is>
          <t>Drop-off</t>
        </is>
      </c>
      <c r="H209" s="27" t="inlineStr">
        <is>
          <t>No</t>
        </is>
      </c>
      <c r="I209" s="27" t="inlineStr">
        <is>
          <t>Yes</t>
        </is>
      </c>
      <c r="J209" s="27" t="inlineStr">
        <is>
          <t>Cebada, harina, muna, mantequilla</t>
        </is>
      </c>
      <c r="K209" s="27" t="inlineStr">
        <is>
          <t>Makro; Surquillo N.1</t>
        </is>
      </c>
      <c r="L209" s="28" t="n">
        <v>0.9</v>
      </c>
      <c r="M209" s="29" t="n">
        <v>4</v>
      </c>
      <c r="N209" s="30">
        <f>IFERROR(L209/M209,"")</f>
        <v/>
      </c>
      <c r="O209" s="31" t="inlineStr">
        <is>
          <t>No - estimate</t>
        </is>
      </c>
      <c r="P209" s="31">
        <f>IF(N209="","",IF(N209&gt;0.32,"Reprice or resource",IF(N209&lt;0.2,"Check cost is realistic","OK")))</f>
        <v/>
      </c>
    </row>
    <row r="210">
      <c r="A210" s="27" t="n">
        <v>209</v>
      </c>
      <c r="B210" s="27" t="inlineStr">
        <is>
          <t>Partan Bree Bowl</t>
        </is>
      </c>
      <c r="C210" s="27" t="inlineStr">
        <is>
          <t>Partan bree</t>
        </is>
      </c>
      <c r="D210" s="27" t="inlineStr">
        <is>
          <t>Scottish</t>
        </is>
      </c>
      <c r="E210" s="27" t="inlineStr">
        <is>
          <t>Bowl</t>
        </is>
      </c>
      <c r="F210" s="27" t="inlineStr">
        <is>
          <t>The crab soup at bowl size with the rice cooked into it, choclo and a rocoto oil. Rich enough to be lunch, and only sellable in a month the crab veda is open.</t>
        </is>
      </c>
      <c r="G210" s="27" t="inlineStr">
        <is>
          <t>Buffet</t>
        </is>
      </c>
      <c r="H210" s="27" t="inlineStr">
        <is>
          <t>No</t>
        </is>
      </c>
      <c r="I210" s="27" t="inlineStr">
        <is>
          <t>No</t>
        </is>
      </c>
      <c r="J210" s="27" t="inlineStr">
        <is>
          <t>Cangrejo, arroz, choclo, rocoto</t>
        </is>
      </c>
      <c r="K210" s="27" t="inlineStr">
        <is>
          <t>Terminal Pesquero</t>
        </is>
      </c>
      <c r="L210" s="28" t="n">
        <v>8.199999999999999</v>
      </c>
      <c r="M210" s="29" t="n">
        <v>35</v>
      </c>
      <c r="N210" s="30">
        <f>IFERROR(L210/M210,"")</f>
        <v/>
      </c>
      <c r="O210" s="31" t="inlineStr">
        <is>
          <t>No - estimate</t>
        </is>
      </c>
      <c r="P210" s="31">
        <f>IF(N210="","",IF(N210&gt;0.32,"Reprice or resource",IF(N210&lt;0.2,"Check cost is realistic","OK")))</f>
        <v/>
      </c>
    </row>
    <row r="211">
      <c r="A211" s="27" t="n">
        <v>210</v>
      </c>
      <c r="B211" s="27" t="inlineStr">
        <is>
          <t>Barley &amp; Kale Bowl, Aji Verde</t>
        </is>
      </c>
      <c r="C211" s="27" t="inlineStr">
        <is>
          <t>Barley broth</t>
        </is>
      </c>
      <c r="D211" s="27" t="inlineStr">
        <is>
          <t>Scottish</t>
        </is>
      </c>
      <c r="E211" s="27" t="inlineStr">
        <is>
          <t>Bowl</t>
        </is>
      </c>
      <c r="F211" s="27" t="inlineStr">
        <is>
          <t>Pearl barley, kale and roast squash under an aji verde dressing. Vegan, cheap to build, and the barley is what keeps it eating like a Scottish bowl rather than a salad.</t>
        </is>
      </c>
      <c r="G211" s="27" t="inlineStr">
        <is>
          <t>Drop-off</t>
        </is>
      </c>
      <c r="H211" s="27" t="inlineStr">
        <is>
          <t>No</t>
        </is>
      </c>
      <c r="I211" s="27" t="inlineStr">
        <is>
          <t>Yes</t>
        </is>
      </c>
      <c r="J211" s="27" t="inlineStr">
        <is>
          <t>Cebada, kale, zapallo, aji amarillo</t>
        </is>
      </c>
      <c r="K211" s="27" t="inlineStr">
        <is>
          <t>Makro; Surquillo N.1</t>
        </is>
      </c>
      <c r="L211" s="28" t="n">
        <v>2.4</v>
      </c>
      <c r="M211" s="29" t="n">
        <v>9</v>
      </c>
      <c r="N211" s="30">
        <f>IFERROR(L211/M211,"")</f>
        <v/>
      </c>
      <c r="O211" s="31" t="inlineStr">
        <is>
          <t>No - estimate</t>
        </is>
      </c>
      <c r="P211" s="31">
        <f>IF(N211="","",IF(N211&gt;0.32,"Reprice or resource",IF(N211&lt;0.2,"Check cost is realistic","OK")))</f>
        <v/>
      </c>
    </row>
    <row r="212">
      <c r="A212" s="27" t="n">
        <v>211</v>
      </c>
      <c r="B212" s="27" t="inlineStr">
        <is>
          <t>Kippered Trout, Muna Butter</t>
        </is>
      </c>
      <c r="C212" s="27" t="inlineStr">
        <is>
          <t>Kipper</t>
        </is>
      </c>
      <c r="D212" s="27" t="inlineStr">
        <is>
          <t>Scottish</t>
        </is>
      </c>
      <c r="E212" s="27" t="inlineStr">
        <is>
          <t>Breakfast</t>
        </is>
      </c>
      <c r="F212" s="27" t="inlineStr">
        <is>
          <t>A whole trout butterflied and hard-smoked the way a herring is kippered, then grilled to order under muna butter. The Lima fish that gets closest to a Loch Fyne kipper.</t>
        </is>
      </c>
      <c r="G212" s="27" t="inlineStr">
        <is>
          <t>Live station</t>
        </is>
      </c>
      <c r="H212" s="27" t="inlineStr">
        <is>
          <t>No</t>
        </is>
      </c>
      <c r="I212" s="27" t="inlineStr">
        <is>
          <t>No</t>
        </is>
      </c>
      <c r="J212" s="27" t="inlineStr">
        <is>
          <t>Trucha, muna, mantequilla, limon</t>
        </is>
      </c>
      <c r="K212" s="27" t="inlineStr">
        <is>
          <t>Terminal Pesquero</t>
        </is>
      </c>
      <c r="L212" s="28" t="n">
        <v>8.800000000000001</v>
      </c>
      <c r="M212" s="29" t="n">
        <v>35</v>
      </c>
      <c r="N212" s="30">
        <f>IFERROR(L212/M212,"")</f>
        <v/>
      </c>
      <c r="O212" s="31" t="inlineStr">
        <is>
          <t>No - estimate</t>
        </is>
      </c>
      <c r="P212" s="31">
        <f>IF(N212="","",IF(N212&gt;0.32,"Reprice or resource",IF(N212&lt;0.2,"Check cost is realistic","OK")))</f>
        <v/>
      </c>
    </row>
    <row r="213">
      <c r="A213" s="27" t="n">
        <v>212</v>
      </c>
      <c r="B213" s="27" t="inlineStr">
        <is>
          <t>Aguaymanto Brose</t>
        </is>
      </c>
      <c r="C213" s="27" t="inlineStr">
        <is>
          <t>Brose</t>
        </is>
      </c>
      <c r="D213" s="27" t="inlineStr">
        <is>
          <t>Scottish</t>
        </is>
      </c>
      <c r="E213" s="27" t="inlineStr">
        <is>
          <t>Breakfast</t>
        </is>
      </c>
      <c r="F213" s="27" t="inlineStr">
        <is>
          <t>Oatmeal soaked raw overnight rather than cooked - the older, plainer cousin of porridge - with aguaymanto and honey. Ready in the box, no heat needed at the venue.</t>
        </is>
      </c>
      <c r="G213" s="27" t="inlineStr">
        <is>
          <t>Drop-off</t>
        </is>
      </c>
      <c r="H213" s="27" t="inlineStr">
        <is>
          <t>No</t>
        </is>
      </c>
      <c r="I213" s="27" t="inlineStr">
        <is>
          <t>Yes</t>
        </is>
      </c>
      <c r="J213" s="27" t="inlineStr">
        <is>
          <t>Avena, aguaymanto, miel, leche</t>
        </is>
      </c>
      <c r="K213" s="27" t="inlineStr">
        <is>
          <t>Makro; Surquillo N.1</t>
        </is>
      </c>
      <c r="L213" s="28" t="n">
        <v>1.8</v>
      </c>
      <c r="M213" s="29" t="n">
        <v>7</v>
      </c>
      <c r="N213" s="30">
        <f>IFERROR(L213/M213,"")</f>
        <v/>
      </c>
      <c r="O213" s="31" t="inlineStr">
        <is>
          <t>No - estimate</t>
        </is>
      </c>
      <c r="P213" s="31">
        <f>IF(N213="","",IF(N213&gt;0.32,"Reprice or resource",IF(N213&lt;0.2,"Check cost is realistic","OK")))</f>
        <v/>
      </c>
    </row>
    <row r="214">
      <c r="A214" s="27" t="n">
        <v>213</v>
      </c>
      <c r="B214" s="27" t="inlineStr">
        <is>
          <t>Cranachan Overnight Oats</t>
        </is>
      </c>
      <c r="C214" s="27" t="inlineStr">
        <is>
          <t>Cranachan</t>
        </is>
      </c>
      <c r="D214" s="27" t="inlineStr">
        <is>
          <t>Scottish</t>
        </is>
      </c>
      <c r="E214" s="27" t="inlineStr">
        <is>
          <t>Breakfast</t>
        </is>
      </c>
      <c r="F214" s="27" t="inlineStr">
        <is>
          <t>Cranachan taken off the dessert list and sold as breakfast: oats, cream, honey and chirimoya, with the whisky left out. Same build, different hour.</t>
        </is>
      </c>
      <c r="G214" s="27" t="inlineStr">
        <is>
          <t>Drop-off</t>
        </is>
      </c>
      <c r="H214" s="27" t="inlineStr">
        <is>
          <t>No</t>
        </is>
      </c>
      <c r="I214" s="27" t="inlineStr">
        <is>
          <t>Yes</t>
        </is>
      </c>
      <c r="J214" s="27" t="inlineStr">
        <is>
          <t>Avena, crema, miel, chirimoya</t>
        </is>
      </c>
      <c r="K214" s="27" t="inlineStr">
        <is>
          <t>Surquillo N.1; Makro</t>
        </is>
      </c>
      <c r="L214" s="28" t="n">
        <v>2.9</v>
      </c>
      <c r="M214" s="29" t="n">
        <v>12</v>
      </c>
      <c r="N214" s="30">
        <f>IFERROR(L214/M214,"")</f>
        <v/>
      </c>
      <c r="O214" s="31" t="inlineStr">
        <is>
          <t>No - estimate</t>
        </is>
      </c>
      <c r="P214" s="31">
        <f>IF(N214="","",IF(N214&gt;0.32,"Reprice or resource",IF(N214&lt;0.2,"Check cost is realistic","OK")))</f>
        <v/>
      </c>
    </row>
    <row r="215">
      <c r="A215" s="27" t="n">
        <v>214</v>
      </c>
      <c r="B215" s="27" t="inlineStr">
        <is>
          <t>Malt Whisky Ice Cream, Chancaca</t>
        </is>
      </c>
      <c r="C215" s="27" t="inlineStr">
        <is>
          <t>Ice cream</t>
        </is>
      </c>
      <c r="D215" s="27" t="inlineStr">
        <is>
          <t>Scottish</t>
        </is>
      </c>
      <c r="E215" s="27" t="inlineStr">
        <is>
          <t>Dessert</t>
        </is>
      </c>
      <c r="F215" s="27" t="inlineStr">
        <is>
          <t>A custard ice cream with single malt folded in late so it stays soft, over a warm chancaca sauce. The only frozen product on the list, and the one that needs a freezer plan.</t>
        </is>
      </c>
      <c r="G215" s="27" t="inlineStr">
        <is>
          <t>Buffet</t>
        </is>
      </c>
      <c r="H215" s="27" t="inlineStr">
        <is>
          <t>Yes</t>
        </is>
      </c>
      <c r="I215" s="27" t="inlineStr">
        <is>
          <t>Yes</t>
        </is>
      </c>
      <c r="J215" s="27" t="inlineStr">
        <is>
          <t>Crema, huevo, whisky, chancaca</t>
        </is>
      </c>
      <c r="K215" s="27" t="inlineStr">
        <is>
          <t>Makro</t>
        </is>
      </c>
      <c r="L215" s="28" t="n">
        <v>3.5</v>
      </c>
      <c r="M215" s="29" t="n">
        <v>14</v>
      </c>
      <c r="N215" s="30">
        <f>IFERROR(L215/M215,"")</f>
        <v/>
      </c>
      <c r="O215" s="31" t="inlineStr">
        <is>
          <t>No - estimate</t>
        </is>
      </c>
      <c r="P215" s="31">
        <f>IF(N215="","",IF(N215&gt;0.32,"Reprice or resource",IF(N215&lt;0.2,"Check cost is realistic","OK")))</f>
        <v/>
      </c>
    </row>
    <row r="216">
      <c r="A216" s="27" t="n">
        <v>215</v>
      </c>
      <c r="B216" s="27" t="inlineStr">
        <is>
          <t>Dundee Marmalade Pudding</t>
        </is>
      </c>
      <c r="C216" s="27" t="inlineStr">
        <is>
          <t>Marmalade pudding</t>
        </is>
      </c>
      <c r="D216" s="27" t="inlineStr">
        <is>
          <t>Scottish</t>
        </is>
      </c>
      <c r="E216" s="27" t="inlineStr">
        <is>
          <t>Dessert</t>
        </is>
      </c>
      <c r="F216" s="27" t="inlineStr">
        <is>
          <t>A steamed sponge with Dundee marmalade in the base, the marmalade cut with naranja agria. It steams ahead and reheats better than any plated dessert here.</t>
        </is>
      </c>
      <c r="G216" s="27" t="inlineStr">
        <is>
          <t>Buffet</t>
        </is>
      </c>
      <c r="H216" s="27" t="inlineStr">
        <is>
          <t>No</t>
        </is>
      </c>
      <c r="I216" s="27" t="inlineStr">
        <is>
          <t>Yes</t>
        </is>
      </c>
      <c r="J216" s="27" t="inlineStr">
        <is>
          <t>Mermelada, naranja agria, harina, mantequilla</t>
        </is>
      </c>
      <c r="K216" s="27" t="inlineStr">
        <is>
          <t>Makro; Surquillo N.1</t>
        </is>
      </c>
      <c r="L216" s="28" t="n">
        <v>2.2</v>
      </c>
      <c r="M216" s="29" t="n">
        <v>9</v>
      </c>
      <c r="N216" s="30">
        <f>IFERROR(L216/M216,"")</f>
        <v/>
      </c>
      <c r="O216" s="31" t="inlineStr">
        <is>
          <t>No - estimate</t>
        </is>
      </c>
      <c r="P216" s="31">
        <f>IF(N216="","",IF(N216&gt;0.32,"Reprice or resource",IF(N216&lt;0.2,"Check cost is realistic","OK")))</f>
        <v/>
      </c>
    </row>
    <row r="217">
      <c r="A217" s="27" t="n">
        <v>216</v>
      </c>
      <c r="B217" s="27" t="inlineStr">
        <is>
          <t>Abernethy Biscuits, Anise</t>
        </is>
      </c>
      <c r="C217" s="27" t="inlineStr">
        <is>
          <t>Abernethy biscuit</t>
        </is>
      </c>
      <c r="D217" s="27" t="inlineStr">
        <is>
          <t>Scottish</t>
        </is>
      </c>
      <c r="E217" s="27" t="inlineStr">
        <is>
          <t>Bakery</t>
        </is>
      </c>
      <c r="F217" s="27" t="inlineStr">
        <is>
          <t>The plain caraway biscuit from Abernethy, rebuilt with anise - the seed a Peruvian bakery actually stocks, and the one already in pan chuta.</t>
        </is>
      </c>
      <c r="G217" s="27" t="inlineStr">
        <is>
          <t>Drop-off</t>
        </is>
      </c>
      <c r="H217" s="27" t="inlineStr">
        <is>
          <t>No</t>
        </is>
      </c>
      <c r="I217" s="27" t="inlineStr">
        <is>
          <t>Yes</t>
        </is>
      </c>
      <c r="J217" s="27" t="inlineStr">
        <is>
          <t>Harina, mantequilla, anis, azucar</t>
        </is>
      </c>
      <c r="K217" s="27" t="inlineStr">
        <is>
          <t>Makro</t>
        </is>
      </c>
      <c r="L217" s="28" t="n">
        <v>0.2</v>
      </c>
      <c r="M217" s="29" t="n">
        <v>0.8</v>
      </c>
      <c r="N217" s="30">
        <f>IFERROR(L217/M217,"")</f>
        <v/>
      </c>
      <c r="O217" s="31" t="inlineStr">
        <is>
          <t>No - estimate</t>
        </is>
      </c>
      <c r="P217" s="31">
        <f>IF(N217="","",IF(N217&gt;0.32,"Reprice or resource",IF(N217&lt;0.2,"Check cost is realistic","OK")))</f>
        <v/>
      </c>
    </row>
    <row r="218">
      <c r="A218" s="27" t="n">
        <v>217</v>
      </c>
      <c r="B218" s="27" t="inlineStr">
        <is>
          <t>Paris Bun, Chancaca Sugar</t>
        </is>
      </c>
      <c r="C218" s="27" t="inlineStr">
        <is>
          <t>Paris bun</t>
        </is>
      </c>
      <c r="D218" s="27" t="inlineStr">
        <is>
          <t>Scottish</t>
        </is>
      </c>
      <c r="E218" s="27" t="inlineStr">
        <is>
          <t>Bakery</t>
        </is>
      </c>
      <c r="F218" s="27" t="inlineStr">
        <is>
          <t>The flat sugared bun from every Scottish baker's window, topped with chancaca sugar instead of nibbed white. Cheap, sweet, and it sells to children first.</t>
        </is>
      </c>
      <c r="G218" s="27" t="inlineStr">
        <is>
          <t>Drop-off</t>
        </is>
      </c>
      <c r="H218" s="27" t="inlineStr">
        <is>
          <t>No</t>
        </is>
      </c>
      <c r="I218" s="27" t="inlineStr">
        <is>
          <t>Yes</t>
        </is>
      </c>
      <c r="J218" s="27" t="inlineStr">
        <is>
          <t>Harina, mantequilla, chancaca, huevo</t>
        </is>
      </c>
      <c r="K218" s="27" t="inlineStr">
        <is>
          <t>Makro</t>
        </is>
      </c>
      <c r="L218" s="28" t="n">
        <v>0.6</v>
      </c>
      <c r="M218" s="29" t="n">
        <v>2.5</v>
      </c>
      <c r="N218" s="30">
        <f>IFERROR(L218/M218,"")</f>
        <v/>
      </c>
      <c r="O218" s="31" t="inlineStr">
        <is>
          <t>No - estimate</t>
        </is>
      </c>
      <c r="P218" s="31">
        <f>IF(N218="","",IF(N218&gt;0.32,"Reprice or resource",IF(N218&lt;0.2,"Check cost is realistic","OK")))</f>
        <v/>
      </c>
    </row>
    <row r="219">
      <c r="A219" s="27" t="n">
        <v>218</v>
      </c>
      <c r="B219" s="27" t="inlineStr">
        <is>
          <t>Sopa a la Minuta con Cebada</t>
        </is>
      </c>
      <c r="C219" s="27" t="inlineStr">
        <is>
          <t>Sopa a la minuta</t>
        </is>
      </c>
      <c r="D219" s="27" t="inlineStr">
        <is>
          <t>Peruvian</t>
        </is>
      </c>
      <c r="E219" s="27" t="inlineStr">
        <is>
          <t>Bowl</t>
        </is>
      </c>
      <c r="F219" s="27" t="inlineStr">
        <is>
          <t>Peruvian base, Scottish move: pearl barley in place of the fideo, which turns Lima's fastest soup into something much closer to a Scotch broth.</t>
        </is>
      </c>
      <c r="G219" s="27" t="inlineStr">
        <is>
          <t>Buffet</t>
        </is>
      </c>
      <c r="H219" s="27" t="inlineStr">
        <is>
          <t>No</t>
        </is>
      </c>
      <c r="I219" s="27" t="inlineStr">
        <is>
          <t>No</t>
        </is>
      </c>
      <c r="J219" s="27" t="inlineStr">
        <is>
          <t>Carne molida, cebada, leche, tomate</t>
        </is>
      </c>
      <c r="K219" s="27" t="inlineStr">
        <is>
          <t>Makro; Surquillo N.1</t>
        </is>
      </c>
      <c r="L219" s="28" t="n">
        <v>3.8</v>
      </c>
      <c r="M219" s="29" t="n">
        <v>16</v>
      </c>
      <c r="N219" s="30">
        <f>IFERROR(L219/M219,"")</f>
        <v/>
      </c>
      <c r="O219" s="31" t="inlineStr">
        <is>
          <t>No - estimate</t>
        </is>
      </c>
      <c r="P219" s="31">
        <f>IF(N219="","",IF(N219&gt;0.32,"Reprice or resource",IF(N219&lt;0.2,"Check cost is realistic","OK")))</f>
        <v/>
      </c>
    </row>
    <row r="220">
      <c r="A220" s="27" t="n">
        <v>219</v>
      </c>
      <c r="B220" s="27" t="inlineStr">
        <is>
          <t>Chupe de Cangrejo, Avena</t>
        </is>
      </c>
      <c r="C220" s="27" t="inlineStr">
        <is>
          <t>Chupe</t>
        </is>
      </c>
      <c r="D220" s="27" t="inlineStr">
        <is>
          <t>Peruvian</t>
        </is>
      </c>
      <c r="E220" s="27" t="inlineStr">
        <is>
          <t>Bowl</t>
        </is>
      </c>
      <c r="F220" s="27" t="inlineStr">
        <is>
          <t>Peruvian base, Scottish move: oats thicken the chupe instead of rice, the way a partan bree is thickened. Crab is veda-bound, so the planner blocks it outright in closed months.</t>
        </is>
      </c>
      <c r="G220" s="27" t="inlineStr">
        <is>
          <t>Buffet</t>
        </is>
      </c>
      <c r="H220" s="27" t="inlineStr">
        <is>
          <t>No</t>
        </is>
      </c>
      <c r="I220" s="27" t="inlineStr">
        <is>
          <t>No</t>
        </is>
      </c>
      <c r="J220" s="27" t="inlineStr">
        <is>
          <t>Cangrejo, avena, leche, aji amarillo</t>
        </is>
      </c>
      <c r="K220" s="27" t="inlineStr">
        <is>
          <t>Terminal Pesquero</t>
        </is>
      </c>
      <c r="L220" s="28" t="n">
        <v>8.1</v>
      </c>
      <c r="M220" s="29" t="n">
        <v>30</v>
      </c>
      <c r="N220" s="30">
        <f>IFERROR(L220/M220,"")</f>
        <v/>
      </c>
      <c r="O220" s="31" t="inlineStr">
        <is>
          <t>No - estimate</t>
        </is>
      </c>
      <c r="P220" s="31">
        <f>IF(N220="","",IF(N220&gt;0.32,"Reprice or resource",IF(N220&lt;0.2,"Check cost is realistic","OK")))</f>
        <v/>
      </c>
    </row>
    <row r="221">
      <c r="A221" s="27" t="n">
        <v>220</v>
      </c>
      <c r="B221" s="27" t="inlineStr">
        <is>
          <t>Tamalito Verde, Mantequilla de Muna</t>
        </is>
      </c>
      <c r="C221" s="27" t="inlineStr">
        <is>
          <t>Tamal</t>
        </is>
      </c>
      <c r="D221" s="27" t="inlineStr">
        <is>
          <t>Peruvian</t>
        </is>
      </c>
      <c r="E221" s="27" t="inlineStr">
        <is>
          <t>Side</t>
        </is>
      </c>
      <c r="F221" s="27" t="inlineStr">
        <is>
          <t>Peruvian base, Scottish move: the green tamalito served the way a Scottish table serves a bannock - warm, with a whipped herb butter rather than salsa criolla.</t>
        </is>
      </c>
      <c r="G221" s="27" t="inlineStr">
        <is>
          <t>Drop-off</t>
        </is>
      </c>
      <c r="H221" s="27" t="inlineStr">
        <is>
          <t>No</t>
        </is>
      </c>
      <c r="I221" s="27" t="inlineStr">
        <is>
          <t>Yes</t>
        </is>
      </c>
      <c r="J221" s="27" t="inlineStr">
        <is>
          <t>Choclo, culantro, muna, mantequilla</t>
        </is>
      </c>
      <c r="K221" s="27" t="inlineStr">
        <is>
          <t>Surquillo N.1</t>
        </is>
      </c>
      <c r="L221" s="28" t="n">
        <v>1.1</v>
      </c>
      <c r="M221" s="29" t="n">
        <v>5</v>
      </c>
      <c r="N221" s="30">
        <f>IFERROR(L221/M221,"")</f>
        <v/>
      </c>
      <c r="O221" s="31" t="inlineStr">
        <is>
          <t>No - estimate</t>
        </is>
      </c>
      <c r="P221" s="31">
        <f>IF(N221="","",IF(N221&gt;0.32,"Reprice or resource",IF(N221&lt;0.2,"Check cost is realistic","OK")))</f>
        <v/>
      </c>
    </row>
    <row r="222">
      <c r="A222" s="27" t="n">
        <v>221</v>
      </c>
      <c r="B222" s="27" t="inlineStr">
        <is>
          <t>Anticucho de Alpaca, Enebro</t>
        </is>
      </c>
      <c r="C222" s="27" t="inlineStr">
        <is>
          <t>Anticucho</t>
        </is>
      </c>
      <c r="D222" s="27" t="inlineStr">
        <is>
          <t>Peruvian</t>
        </is>
      </c>
      <c r="E222" s="27" t="inlineStr">
        <is>
          <t>Main</t>
        </is>
      </c>
      <c r="F222" s="27" t="inlineStr">
        <is>
          <t>Peruvian base, Scottish move: alpaca in a panca marinade cut with juniper, skewered and grilled. The Highland game plate written as street food.</t>
        </is>
      </c>
      <c r="G222" s="27" t="inlineStr">
        <is>
          <t>Live station</t>
        </is>
      </c>
      <c r="H222" s="27" t="inlineStr">
        <is>
          <t>No</t>
        </is>
      </c>
      <c r="I222" s="27" t="inlineStr">
        <is>
          <t>No</t>
        </is>
      </c>
      <c r="J222" s="27" t="inlineStr">
        <is>
          <t>Alpaca, aji panca, enebro, vinagre</t>
        </is>
      </c>
      <c r="K222" s="27" t="inlineStr">
        <is>
          <t>Mercado de Magdalena</t>
        </is>
      </c>
      <c r="L222" s="28" t="n">
        <v>3.9</v>
      </c>
      <c r="M222" s="29" t="n">
        <v>16</v>
      </c>
      <c r="N222" s="30">
        <f>IFERROR(L222/M222,"")</f>
        <v/>
      </c>
      <c r="O222" s="31" t="inlineStr">
        <is>
          <t>No - estimate</t>
        </is>
      </c>
      <c r="P222" s="31">
        <f>IF(N222="","",IF(N222&gt;0.32,"Reprice or resource",IF(N222&lt;0.2,"Check cost is realistic","OK")))</f>
        <v/>
      </c>
    </row>
    <row r="223">
      <c r="A223" s="27" t="n">
        <v>222</v>
      </c>
      <c r="B223" s="27" t="inlineStr">
        <is>
          <t>Salchicha Huachana con Avena</t>
        </is>
      </c>
      <c r="C223" s="27" t="inlineStr">
        <is>
          <t>Salchicha huachana</t>
        </is>
      </c>
      <c r="D223" s="27" t="inlineStr">
        <is>
          <t>Peruvian</t>
        </is>
      </c>
      <c r="E223" s="27" t="inlineStr">
        <is>
          <t>Canape</t>
        </is>
      </c>
      <c r="F223" s="27" t="inlineStr">
        <is>
          <t>Peruvian base, Scottish move: the Huacho sausage bound with oats the way a Lorne square is, then cut in squares and griddled rather than crumbled.</t>
        </is>
      </c>
      <c r="G223" s="27" t="inlineStr">
        <is>
          <t>Live station</t>
        </is>
      </c>
      <c r="H223" s="27" t="inlineStr">
        <is>
          <t>No</t>
        </is>
      </c>
      <c r="I223" s="27" t="inlineStr">
        <is>
          <t>No</t>
        </is>
      </c>
      <c r="J223" s="27" t="inlineStr">
        <is>
          <t>Cerdo, aji amarillo, avena, achiote</t>
        </is>
      </c>
      <c r="K223" s="27" t="inlineStr">
        <is>
          <t>Mercado de Magdalena</t>
        </is>
      </c>
      <c r="L223" s="28" t="n">
        <v>1.1</v>
      </c>
      <c r="M223" s="29" t="n">
        <v>5</v>
      </c>
      <c r="N223" s="30">
        <f>IFERROR(L223/M223,"")</f>
        <v/>
      </c>
      <c r="O223" s="31" t="inlineStr">
        <is>
          <t>No - estimate</t>
        </is>
      </c>
      <c r="P223" s="31">
        <f>IF(N223="","",IF(N223&gt;0.32,"Reprice or resource",IF(N223&lt;0.2,"Check cost is realistic","OK")))</f>
        <v/>
      </c>
    </row>
    <row r="224">
      <c r="A224" s="27" t="n">
        <v>223</v>
      </c>
      <c r="B224" s="27" t="inlineStr">
        <is>
          <t>Bizcocho de Quinua y Lucuma</t>
        </is>
      </c>
      <c r="C224" s="27" t="inlineStr">
        <is>
          <t>Bizcocho</t>
        </is>
      </c>
      <c r="D224" s="27" t="inlineStr">
        <is>
          <t>Peruvian</t>
        </is>
      </c>
      <c r="E224" s="27" t="inlineStr">
        <is>
          <t>Bakery</t>
        </is>
      </c>
      <c r="F224" s="27" t="inlineStr">
        <is>
          <t>Peruvian base, Scottish move: a quinoa-flour sponge built to the density of a Scottish tea loaf, with lucuma buttercream. It slices for a stand rather than a plate.</t>
        </is>
      </c>
      <c r="G224" s="27" t="inlineStr">
        <is>
          <t>Drop-off</t>
        </is>
      </c>
      <c r="H224" s="27" t="inlineStr">
        <is>
          <t>No</t>
        </is>
      </c>
      <c r="I224" s="27" t="inlineStr">
        <is>
          <t>Yes</t>
        </is>
      </c>
      <c r="J224" s="27" t="inlineStr">
        <is>
          <t>Quinua, lucuma, mantequilla, huevo</t>
        </is>
      </c>
      <c r="K224" s="27" t="inlineStr">
        <is>
          <t>Makro; Surquillo N.1</t>
        </is>
      </c>
      <c r="L224" s="28" t="n">
        <v>2.7</v>
      </c>
      <c r="M224" s="29" t="n">
        <v>10</v>
      </c>
      <c r="N224" s="30">
        <f>IFERROR(L224/M224,"")</f>
        <v/>
      </c>
      <c r="O224" s="31" t="inlineStr">
        <is>
          <t>No - estimate</t>
        </is>
      </c>
      <c r="P224" s="31">
        <f>IF(N224="","",IF(N224&gt;0.32,"Reprice or resource",IF(N224&lt;0.2,"Check cost is realistic","OK")))</f>
        <v/>
      </c>
    </row>
    <row r="226">
      <c r="B226" s="34" t="inlineStr">
        <is>
          <t>Portfolio average</t>
        </is>
      </c>
      <c r="L226" s="18">
        <f>AVERAGE(L2:L224)</f>
        <v/>
      </c>
      <c r="M226" s="18">
        <f>AVERAGE(M2:M224)</f>
        <v/>
      </c>
      <c r="N226" s="18">
        <f>IFERROR(L226/M226,"")</f>
        <v/>
      </c>
      <c r="P226" s="18">
        <f>IF(N226&gt;0.32,"Portfolio food cost too high","Portfolio food cost OK")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8" min="1" max="1"/>
    <col width="10" customWidth="1" style="18" min="2" max="3"/>
    <col width="12" customWidth="1" style="18" min="4" max="4"/>
    <col width="32" customWidth="1" style="18" min="5" max="5"/>
  </cols>
  <sheetData>
    <row r="1" ht="15" customHeight="1" s="19">
      <c r="A1" s="20" t="inlineStr">
        <is>
          <t>MIX CHECK - enforces the Scottish-led ratio and the service-format balance</t>
        </is>
      </c>
      <c r="B1" s="23" t="n"/>
      <c r="C1" s="23" t="n"/>
      <c r="D1" s="23" t="n"/>
      <c r="E1" s="23" t="n"/>
    </row>
    <row r="2" ht="15" customHeight="1" s="19">
      <c r="A2" s="23" t="n"/>
      <c r="B2" s="23" t="n"/>
      <c r="C2" s="23" t="n"/>
      <c r="D2" s="23" t="n"/>
      <c r="E2" s="23" t="n"/>
    </row>
    <row r="3" ht="15" customHeight="1" s="19">
      <c r="A3" s="23" t="inlineStr">
        <is>
          <t>Sub-origin</t>
        </is>
      </c>
      <c r="B3" s="23" t="inlineStr">
        <is>
          <t>Count</t>
        </is>
      </c>
      <c r="C3" s="23" t="inlineStr">
        <is>
          <t>Share</t>
        </is>
      </c>
      <c r="D3" s="23" t="inlineStr">
        <is>
          <t>Cap agreed</t>
        </is>
      </c>
      <c r="E3" s="23" t="inlineStr">
        <is>
          <t>Status</t>
        </is>
      </c>
    </row>
    <row r="4" ht="15" customHeight="1" s="19">
      <c r="A4" s="23" t="inlineStr">
        <is>
          <t>Scottish</t>
        </is>
      </c>
      <c r="B4" s="23">
        <f>COUNTIF(Matrix!$D$2:$D$224,"Scottish")</f>
        <v/>
      </c>
      <c r="C4" s="32">
        <f>IFERROR(B4/$B$13,"")</f>
        <v/>
      </c>
      <c r="D4" s="32" t="n">
        <v>0.5</v>
      </c>
      <c r="E4" s="23">
        <f>IF(C4&gt;=D4,"OK","Too few - cook more Scottish")</f>
        <v/>
      </c>
    </row>
    <row r="5" ht="15" customHeight="1" s="19">
      <c r="A5" s="23" t="inlineStr">
        <is>
          <t>Scottish (Glasgow)</t>
        </is>
      </c>
      <c r="B5" s="23">
        <f>COUNTIF(Matrix!$D$2:$D$224,"Scottish (Glasgow)")</f>
        <v/>
      </c>
      <c r="C5" s="32">
        <f>IFERROR(B5/$B$13,"")</f>
        <v/>
      </c>
      <c r="D5" s="23" t="n"/>
      <c r="E5" s="23" t="n"/>
    </row>
    <row r="6" ht="15" customHeight="1" s="19">
      <c r="A6" s="23" t="inlineStr">
        <is>
          <t>English</t>
        </is>
      </c>
      <c r="B6" s="23">
        <f>COUNTIF(Matrix!$D$2:$D$224,"English")</f>
        <v/>
      </c>
      <c r="C6" s="32">
        <f>IFERROR(B6/$B$13,"")</f>
        <v/>
      </c>
      <c r="D6" s="32" t="n">
        <v>0.2</v>
      </c>
      <c r="E6" s="23">
        <f>IF(C6&lt;=D6,"OK","Over cap - trim")</f>
        <v/>
      </c>
    </row>
    <row r="7" ht="15" customHeight="1" s="19">
      <c r="A7" s="23" t="inlineStr">
        <is>
          <t>Greek</t>
        </is>
      </c>
      <c r="B7" s="23">
        <f>COUNTIF(Matrix!$D$2:$D$224,"Greek")</f>
        <v/>
      </c>
      <c r="C7" s="32">
        <f>IFERROR(B7/$B$13,"")</f>
        <v/>
      </c>
      <c r="D7" s="32" t="n">
        <v>0.2</v>
      </c>
      <c r="E7" s="23">
        <f>IF(C7&lt;=D7,"OK","Over cap - trim")</f>
        <v/>
      </c>
    </row>
    <row r="8" ht="15" customHeight="1" s="19">
      <c r="A8" s="23" t="inlineStr">
        <is>
          <t>Nordic</t>
        </is>
      </c>
      <c r="B8" s="23">
        <f>COUNTIF(Matrix!$D$2:$D$224,"Nordic")</f>
        <v/>
      </c>
      <c r="C8" s="32">
        <f>IFERROR(B8/$B$13,"")</f>
        <v/>
      </c>
      <c r="D8" s="32" t="n">
        <v>0.2</v>
      </c>
      <c r="E8" s="23">
        <f>IF(C8&lt;=D8,"OK","Over cap - trim")</f>
        <v/>
      </c>
    </row>
    <row r="9" ht="15" customHeight="1" s="19">
      <c r="A9" s="23" t="inlineStr">
        <is>
          <t>Basque</t>
        </is>
      </c>
      <c r="B9" s="23">
        <f>COUNTIF(Matrix!$D$2:$D$224,"Basque")</f>
        <v/>
      </c>
      <c r="C9" s="32">
        <f>IFERROR(B9/$B$13,"")</f>
        <v/>
      </c>
      <c r="D9" s="32" t="n">
        <v>0.15</v>
      </c>
      <c r="E9" s="23">
        <f>IF(C9&lt;=D9,"OK","Over cap - trim")</f>
        <v/>
      </c>
    </row>
    <row r="10" ht="15" customHeight="1" s="19">
      <c r="A10" s="23" t="inlineStr">
        <is>
          <t>Peruvian</t>
        </is>
      </c>
      <c r="B10" s="23">
        <f>COUNTIF(Matrix!$D$2:$D$224,"Peruvian")</f>
        <v/>
      </c>
      <c r="C10" s="32">
        <f>IFERROR(B10/$B$13,"")</f>
        <v/>
      </c>
      <c r="D10" s="23" t="n"/>
      <c r="E10" s="23" t="n"/>
    </row>
    <row r="11" ht="15" customHeight="1" s="19">
      <c r="A11" s="23" t="inlineStr">
        <is>
          <t>Disputed (Lake District / Scotland)</t>
        </is>
      </c>
      <c r="B11" s="23">
        <f>COUNTIF(Matrix!$D$2:$D$224,"Disputed (Lake District / Scotland)")</f>
        <v/>
      </c>
      <c r="C11" s="32">
        <f>IFERROR(B11/$B$13,"")</f>
        <v/>
      </c>
      <c r="D11" s="23" t="n"/>
      <c r="E11" s="23" t="n"/>
    </row>
    <row r="12" ht="15" customHeight="1" s="19">
      <c r="A12" s="23" t="n"/>
      <c r="B12" s="23" t="n"/>
      <c r="C12" s="23" t="n"/>
      <c r="D12" s="23" t="n"/>
      <c r="E12" s="23" t="n"/>
    </row>
    <row r="13" ht="15" customHeight="1" s="19">
      <c r="A13" s="22" t="inlineStr">
        <is>
          <t>TOTAL</t>
        </is>
      </c>
      <c r="B13" s="22">
        <f>SUM(B4:B11)</f>
        <v/>
      </c>
      <c r="C13" s="23" t="n"/>
      <c r="D13" s="23" t="n"/>
      <c r="E13" s="23" t="n"/>
    </row>
    <row r="14" ht="15" customHeight="1" s="19">
      <c r="A14" s="23" t="n"/>
      <c r="B14" s="23" t="n"/>
      <c r="C14" s="23" t="n"/>
      <c r="D14" s="23" t="n"/>
      <c r="E14" s="23" t="n"/>
    </row>
    <row r="15" ht="15" customHeight="1" s="19">
      <c r="A15" s="22" t="inlineStr">
        <is>
          <t>Service format</t>
        </is>
      </c>
      <c r="B15" s="22" t="inlineStr">
        <is>
          <t>Count</t>
        </is>
      </c>
      <c r="C15" s="23" t="n"/>
      <c r="D15" s="23" t="n"/>
      <c r="E15" s="23" t="n"/>
    </row>
    <row r="16" ht="15" customHeight="1" s="19">
      <c r="A16" s="23" t="inlineStr">
        <is>
          <t>Drop-off</t>
        </is>
      </c>
      <c r="B16" s="23">
        <f>COUNTIF(Matrix!$G$2:$G$224,"Drop-off")</f>
        <v/>
      </c>
      <c r="C16" s="23" t="n"/>
      <c r="D16" s="23" t="n"/>
      <c r="E16" s="23" t="n"/>
    </row>
    <row r="17" ht="15" customHeight="1" s="19">
      <c r="A17" s="23" t="inlineStr">
        <is>
          <t>Buffet</t>
        </is>
      </c>
      <c r="B17" s="23">
        <f>COUNTIF(Matrix!$G$2:$G$224,"Buffet")</f>
        <v/>
      </c>
      <c r="C17" s="23" t="n"/>
      <c r="D17" s="23" t="n"/>
      <c r="E17" s="23" t="n"/>
    </row>
    <row r="18" ht="15" customHeight="1" s="19">
      <c r="A18" s="23" t="inlineStr">
        <is>
          <t>Plated</t>
        </is>
      </c>
      <c r="B18" s="23">
        <f>COUNTIF(Matrix!$G$2:$G$224,"Plated")</f>
        <v/>
      </c>
      <c r="C18" s="23" t="n"/>
      <c r="D18" s="23" t="n"/>
      <c r="E18" s="23" t="n"/>
    </row>
    <row r="19" ht="15" customHeight="1" s="19">
      <c r="A19" s="23" t="inlineStr">
        <is>
          <t>Live station</t>
        </is>
      </c>
      <c r="B19" s="23">
        <f>COUNTIF(Matrix!$G$2:$G$224,"Live station")</f>
        <v/>
      </c>
      <c r="C19" s="23" t="n"/>
      <c r="D19" s="23" t="n"/>
      <c r="E19" s="23" t="n"/>
    </row>
    <row r="20" ht="15" customHeight="1" s="19">
      <c r="A20" s="23" t="n"/>
      <c r="B20" s="23" t="n"/>
      <c r="C20" s="23" t="n"/>
      <c r="D20" s="23" t="n"/>
      <c r="E20" s="23" t="n"/>
    </row>
    <row r="21" ht="15" customHeight="1" s="19">
      <c r="A21" s="22" t="inlineStr">
        <is>
          <t>Sellable without liquor licence</t>
        </is>
      </c>
      <c r="B21" s="22">
        <f>COUNTIF(Matrix!$H$2:$H$224,"No")</f>
        <v/>
      </c>
      <c r="C21" s="23" t="n"/>
      <c r="D21" s="23" t="n"/>
      <c r="E21" s="23" t="n"/>
    </row>
    <row r="22" ht="15" customHeight="1" s="19">
      <c r="A22" s="22" t="inlineStr">
        <is>
          <t>Vegetarian</t>
        </is>
      </c>
      <c r="B22" s="22">
        <f>COUNTIF(Matrix!$I$2:$I$224,"Yes")</f>
        <v/>
      </c>
      <c r="C22" s="23" t="n"/>
      <c r="D22" s="23" t="n"/>
      <c r="E22" s="23" t="n"/>
    </row>
    <row r="23" ht="15" customHeight="1" s="19">
      <c r="A23" s="23" t="n"/>
      <c r="B23" s="23" t="n"/>
      <c r="C23" s="23" t="n"/>
      <c r="D23" s="23" t="n"/>
      <c r="E23" s="23" t="n"/>
    </row>
    <row r="24" ht="15" customHeight="1" s="19">
      <c r="A24" s="22" t="inlineStr">
        <is>
          <t>Costs still unverified</t>
        </is>
      </c>
      <c r="B24" s="22">
        <f>COUNTIF(Matrix!$O$2:$O$224,"No - estimate")</f>
        <v/>
      </c>
      <c r="C24" s="23" t="inlineStr">
        <is>
          <t>Drive this to zero. Until then nothing here is quotable.</t>
        </is>
      </c>
      <c r="D24" s="23" t="n"/>
      <c r="E24" s="2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8" min="1" max="1"/>
    <col width="60" customWidth="1" style="18" min="2" max="2"/>
    <col width="52" customWidth="1" style="18" min="3" max="4"/>
  </cols>
  <sheetData>
    <row r="1" ht="15" customHeight="1" s="19">
      <c r="A1" s="33" t="inlineStr">
        <is>
          <t>Source</t>
        </is>
      </c>
      <c r="B1" s="33" t="inlineStr">
        <is>
          <t>What to buy there</t>
        </is>
      </c>
      <c r="C1" s="33" t="inlineStr">
        <is>
          <t>Why</t>
        </is>
      </c>
      <c r="D1" s="33" t="inlineStr">
        <is>
          <t>Verify</t>
        </is>
      </c>
    </row>
    <row r="2" ht="23.85" customHeight="1" s="19">
      <c r="A2" s="21" t="inlineStr">
        <is>
          <t>Mercado N.1 de Surquillo</t>
        </is>
      </c>
      <c r="B2" s="21" t="inlineStr">
        <is>
          <t>Native potatoes, ajies (amarillo, panca, limo, rocoto), huacatay, muna, lucuma, chirimoya, aguaymanto, choclo, queso fresco and paria</t>
        </is>
      </c>
      <c r="C2" s="21" t="inlineStr">
        <is>
          <t>Where Lima's serious kitchens buy. Best price on everything native.</t>
        </is>
      </c>
      <c r="D2" s="21" t="inlineStr">
        <is>
          <t>Walk it once with a notebook before costing anything</t>
        </is>
      </c>
    </row>
    <row r="3" ht="23.85" customHeight="1" s="19">
      <c r="A3" s="21" t="inlineStr">
        <is>
          <t>Terminal Pesquero VMT / Minka (Callao)</t>
        </is>
      </c>
      <c r="B3" s="21" t="inlineStr">
        <is>
          <t>Trout, paiche, corvina, chita, langostinos, oysters</t>
        </is>
      </c>
      <c r="C3" s="21" t="inlineStr">
        <is>
          <t>Wholesale pricing; early morning only</t>
        </is>
      </c>
      <c r="D3" s="21" t="inlineStr">
        <is>
          <t>Check the veda calendar - closed seasons are law, not preference</t>
        </is>
      </c>
    </row>
    <row r="4" ht="15" customHeight="1" s="19">
      <c r="A4" s="21" t="inlineStr">
        <is>
          <t>Mercado de Magdalena / artisanal butcher</t>
        </is>
      </c>
      <c r="B4" s="21" t="inlineStr">
        <is>
          <t>Morcilla, lamb, offal, beef shin, pork belly</t>
        </is>
      </c>
      <c r="C4" s="21" t="inlineStr">
        <is>
          <t>Your black pudding and haggis substitutes come from here</t>
        </is>
      </c>
      <c r="D4" s="21" t="inlineStr">
        <is>
          <t>Ask them to make morcilla to your oat-and-mace spec</t>
        </is>
      </c>
    </row>
    <row r="5" ht="15" customHeight="1" s="19">
      <c r="A5" s="21" t="inlineStr">
        <is>
          <t>Makro</t>
        </is>
      </c>
      <c r="B5" s="21" t="inlineStr">
        <is>
          <t>Flour, sugar, oats, quinoa, eggs, oil, bulk dry goods</t>
        </is>
      </c>
      <c r="C5" s="21" t="inlineStr">
        <is>
          <t>Bulk pricing on everything that is not native</t>
        </is>
      </c>
      <c r="D5" s="21" t="inlineStr">
        <is>
          <t>Compare unit price against Vivanda before defaulting here</t>
        </is>
      </c>
    </row>
    <row r="6" ht="15" customHeight="1" s="19">
      <c r="A6" s="21" t="inlineStr">
        <is>
          <t>Oregon Foods</t>
        </is>
      </c>
      <c r="B6" s="21" t="inlineStr">
        <is>
          <t>Beef tenderloin, premium cuts, duck</t>
        </is>
      </c>
      <c r="C6" s="21" t="inlineStr">
        <is>
          <t>Only worth it for the plated tier</t>
        </is>
      </c>
      <c r="D6" s="21" t="inlineStr">
        <is>
          <t>Tenderloin price drives the whole Tier 3 margin - track it weekly</t>
        </is>
      </c>
    </row>
    <row r="7" ht="15" customHeight="1" s="19">
      <c r="A7" s="21" t="inlineStr">
        <is>
          <t>Vivanda / Wong premium</t>
        </is>
      </c>
      <c r="B7" s="21" t="inlineStr">
        <is>
          <t>European butter, cream, mature cheddar</t>
        </is>
      </c>
      <c r="C7" s="21" t="inlineStr">
        <is>
          <t>Butter quality decides your shortbread. Do not economise here.</t>
        </is>
      </c>
      <c r="D7" s="21" t="inlineStr">
        <is>
          <t>Butter is your single biggest bakery cost - price it monthly</t>
        </is>
      </c>
    </row>
    <row r="8" ht="23.85" customHeight="1" s="19">
      <c r="A8" s="21" t="inlineStr">
        <is>
          <t>Specialist importer (Gourmet Peru, Euro Food and similar)</t>
        </is>
      </c>
      <c r="B8" s="21" t="inlineStr">
        <is>
          <t>Filo pastry, imported cheese, olives, anchovies, Irn Bru</t>
        </is>
      </c>
      <c r="C8" s="21" t="inlineStr">
        <is>
          <t>They already hold the DIGESA registrations - do not import yourself</t>
        </is>
      </c>
      <c r="D8" s="21" t="inlineStr">
        <is>
          <t>Get a wholesale account; retail pricing kills these margins</t>
        </is>
      </c>
    </row>
    <row r="9" ht="23.85" customHeight="1" s="19">
      <c r="A9" s="21" t="inlineStr">
        <is>
          <t>Local cacao distributor (Cacaosuyo, Shattell, Amazona and similar)</t>
        </is>
      </c>
      <c r="B9" s="21" t="inlineStr">
        <is>
          <t>70% dark chocolate, cacao nibs</t>
        </is>
      </c>
      <c r="C9" s="21" t="inlineStr">
        <is>
          <t>Peruvian cacao is a selling point, not just an ingredient</t>
        </is>
      </c>
      <c r="D9" s="21" t="inlineStr">
        <is>
          <t>Bulk couverture pricing differs hugely from retail bars</t>
        </is>
      </c>
    </row>
    <row r="10" ht="15" customHeight="1" s="19">
      <c r="A10" s="21" t="inlineStr">
        <is>
          <t>Local bakery partner</t>
        </is>
      </c>
      <c r="B10" s="21" t="inlineStr">
        <is>
          <t>Pan frances, brioche, sourdough</t>
        </is>
      </c>
      <c r="C10" s="21" t="inlineStr">
        <is>
          <t>Cheaper than baking bread yourself until volume justifies it</t>
        </is>
      </c>
      <c r="D10" s="21" t="inlineStr">
        <is>
          <t>Negotiate a standing daily order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2026-08-21T15:37:02Z</dcterms:created>
  <dcterms:modified xsi:type="dcterms:W3CDTF">2026-08-25T07:37:18Z</dcterms:modified>
  <cp:revision>0</cp:revision>
</cp:coreProperties>
</file>
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atrix" sheetId="2" state="visible" r:id="rId4"/>
    <sheet name="Mix Check" sheetId="3" state="visible" r:id="rId5"/>
    <sheet name="Sourcin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<sst xmlns="http://schemas.openxmlformats.org/spreadsheetml/2006/main" count="1537" uniqueCount="650">
  <si>
    <t xml:space="preserve">AYE SI CENA - COSTED FUSION MATRIX</t>
  </si>
  <si>
    <t xml:space="preserve">What this is</t>
  </si>
  <si>
    <t xml:space="preserve">130 dishes: Scottish-led (77), with English, Greek, Nordic, Basque, Peruvian-base and disputed-origin entries tagged separately.</t>
  </si>
  <si>
    <t xml:space="preserve">READ THIS FIRST</t>
  </si>
  <si>
    <t xml:space="preserve">Every figure in 'Est. food cost (S/)' is an ESTIMATE produced without a market run.</t>
  </si>
  <si>
    <t xml:space="preserve">They are order-of-magnitude only and MUST be replaced with real prices before you quote a client.</t>
  </si>
  <si>
    <t xml:space="preserve">Prices are PEN, per portion, Lima 2026. 'Cost verified?' is 'No' on every row until you fix that.</t>
  </si>
  <si>
    <t xml:space="preserve">How to use it</t>
  </si>
  <si>
    <t xml:space="preserve">1. Do one market run. Record what you actually paid.</t>
  </si>
  <si>
    <t xml:space="preserve">2. Overwrite the blue cost cells. Set 'Cost verified?' to Yes.</t>
  </si>
  <si>
    <t xml:space="preserve">3. Watch the Food cost % column: target 25-30%. Red above 32%.</t>
  </si>
  <si>
    <t xml:space="preserve">4. Check the Mix Check tab - it enforces the Scottish-led ratio.</t>
  </si>
  <si>
    <t xml:space="preserve">Editable cells</t>
  </si>
  <si>
    <t xml:space="preserve">Blue text = your inputs (cost, price). Black = formulas. Do not overwrite formulas.</t>
  </si>
  <si>
    <t xml:space="preserve">Service format</t>
  </si>
  <si>
    <t xml:space="preserve">Drop-off = survives a van. Buffet = holds on a hot line. Plated = needs a brigade.</t>
  </si>
  <si>
    <t xml:space="preserve">Live station = you cook it in front of the guest. Never sell a Live station dish as drop-off.</t>
  </si>
  <si>
    <t xml:space="preserve">Not included</t>
  </si>
  <si>
    <t xml:space="preserve">Drinks. 115 of these 130 dishes are sellable before the giro especial clears;</t>
  </si>
  <si>
    <t xml:space="preserve">the 15 flagged 'Needs liquor licence' are not. Filter on that column before publishing a menu.</t>
  </si>
  <si>
    <t xml:space="preserve">Annual fixtures</t>
  </si>
  <si>
    <t xml:space="preserve">Burns Night 25 Jan (haggis, neeps, tatties, cranachan, clootie dumpling).</t>
  </si>
  <si>
    <t xml:space="preserve">Hogmanay 31 Dec (black bun, steak pie). St Andrew's Day 30 Nov.</t>
  </si>
  <si>
    <t xml:space="preserve">These are bookable products with fixed menus, not menu items.</t>
  </si>
  <si>
    <t xml:space="preserve">ID</t>
  </si>
  <si>
    <t xml:space="preserve">Dish</t>
  </si>
  <si>
    <t xml:space="preserve">Origin dish</t>
  </si>
  <si>
    <t xml:space="preserve">Sub-origin</t>
  </si>
  <si>
    <t xml:space="preserve">Category</t>
  </si>
  <si>
    <t xml:space="preserve">Peruvian fusion</t>
  </si>
  <si>
    <t xml:space="preserve">Needs liquor licence</t>
  </si>
  <si>
    <t xml:space="preserve">Veg</t>
  </si>
  <si>
    <t xml:space="preserve">Key local ingredients</t>
  </si>
  <si>
    <t xml:space="preserve">Primary Lima source</t>
  </si>
  <si>
    <t xml:space="preserve">Est. food cost (S/)</t>
  </si>
  <si>
    <t xml:space="preserve">Suggested price (S/)</t>
  </si>
  <si>
    <t xml:space="preserve">Food cost %</t>
  </si>
  <si>
    <t xml:space="preserve">Cost verified?</t>
  </si>
  <si>
    <t xml:space="preserve">Action</t>
  </si>
  <si>
    <t xml:space="preserve">Haggis Bonbons</t>
  </si>
  <si>
    <t xml:space="preserve">Haggis</t>
  </si>
  <si>
    <t xml:space="preserve">Scottish</t>
  </si>
  <si>
    <t xml:space="preserve">Canape</t>
  </si>
  <si>
    <t xml:space="preserve">Crumbed and fried; aji panca in the breadcrumb, huacatay aioli. Offal is familiar to Peruvian palates - this is the least intimidating way in.</t>
  </si>
  <si>
    <t xml:space="preserve">Drop-off</t>
  </si>
  <si>
    <t xml:space="preserve">No</t>
  </si>
  <si>
    <t xml:space="preserve">Lamb offal, oats, aji panca, huacatay</t>
  </si>
  <si>
    <t xml:space="preserve">Mercado de Magdalena (offal); Makro (oats)</t>
  </si>
  <si>
    <t xml:space="preserve">No - estimate</t>
  </si>
  <si>
    <t xml:space="preserve">Morcilla &amp; Apple Empanadas</t>
  </si>
  <si>
    <t xml:space="preserve">Black pudding</t>
  </si>
  <si>
    <t xml:space="preserve">Peruvian empanada dough around morcilla reworked with oats, mace and white pepper; rocoto-apple chutney.</t>
  </si>
  <si>
    <t xml:space="preserve">Artisanal morcilla, rocoto, manzana israel</t>
  </si>
  <si>
    <t xml:space="preserve">Artisanal butcher, Surquillo N.1</t>
  </si>
  <si>
    <t xml:space="preserve">Smoked Trout Oatcakes</t>
  </si>
  <si>
    <t xml:space="preserve">Oatcakes with smoked fish</t>
  </si>
  <si>
    <t xml:space="preserve">Highland oatcake topped with Andean smoked trout and a crowdie-style fresh cheese.</t>
  </si>
  <si>
    <t xml:space="preserve">Trucha andina, queso fresco</t>
  </si>
  <si>
    <t xml:space="preserve">Terminal Pesquero VMT; Surquillo N.1</t>
  </si>
  <si>
    <t xml:space="preserve">Mini Forfar Bridies</t>
  </si>
  <si>
    <t xml:space="preserve">Forfar bridie</t>
  </si>
  <si>
    <t xml:space="preserve">Shortcrust hand pie; local beef mince lifted with aji amarillo and native onion.</t>
  </si>
  <si>
    <t xml:space="preserve">Beef mince, aji amarillo, cebolla roja</t>
  </si>
  <si>
    <t xml:space="preserve">Oregon Foods; Surquillo N.1</t>
  </si>
  <si>
    <t xml:space="preserve">Scotch Pie Minis</t>
  </si>
  <si>
    <t xml:space="preserve">Scotch pie</t>
  </si>
  <si>
    <t xml:space="preserve">Hot-water crust filled with spiced cordero and aji panca instead of mace-only mutton.</t>
  </si>
  <si>
    <t xml:space="preserve">Cordero, aji panca, comino</t>
  </si>
  <si>
    <t xml:space="preserve">Mercado de Magdalena</t>
  </si>
  <si>
    <t xml:space="preserve">Haggis Sausage Rolls</t>
  </si>
  <si>
    <t xml:space="preserve">Sausage roll</t>
  </si>
  <si>
    <t xml:space="preserve">Puff pastry, haggis-spiced filling, glazed with a chancaca brown sauce.</t>
  </si>
  <si>
    <t xml:space="preserve">Lamb, oats, chancaca</t>
  </si>
  <si>
    <t xml:space="preserve">Mercado de Magdalena; Surquillo N.1</t>
  </si>
  <si>
    <t xml:space="preserve">Cullen Skink Croquettes</t>
  </si>
  <si>
    <t xml:space="preserve">Cullen skink</t>
  </si>
  <si>
    <t xml:space="preserve">The No.1-ranked Scottish dish as a bite: smoked paiche and native yellow potato, crumbed.</t>
  </si>
  <si>
    <t xml:space="preserve">Paiche ahumado, papa amarilla</t>
  </si>
  <si>
    <t xml:space="preserve">Terminal Pesquero VMT</t>
  </si>
  <si>
    <t xml:space="preserve">Lorne Sausage Sliders</t>
  </si>
  <si>
    <t xml:space="preserve">Lorne (square) sausage</t>
  </si>
  <si>
    <t xml:space="preserve">Square sausage in a mini pan francés with salsa criolla in place of brown sauce.</t>
  </si>
  <si>
    <t xml:space="preserve">Beef/pork mince, cebolla, limon</t>
  </si>
  <si>
    <t xml:space="preserve">Makro; local bakery</t>
  </si>
  <si>
    <t xml:space="preserve">Tattie Scone &amp; Black Pudding Bites</t>
  </si>
  <si>
    <t xml:space="preserve">Tattie scone</t>
  </si>
  <si>
    <t xml:space="preserve">Griddled native-yellow-potato scone as the base, morcilla and a quail egg on top.</t>
  </si>
  <si>
    <t xml:space="preserve">Live station</t>
  </si>
  <si>
    <t xml:space="preserve">Papa amarilla, morcilla, huevo de codorniz</t>
  </si>
  <si>
    <t xml:space="preserve">Surquillo N.1; artisanal butcher</t>
  </si>
  <si>
    <t xml:space="preserve">Potted Hough Toasts</t>
  </si>
  <si>
    <t xml:space="preserve">Potted hough</t>
  </si>
  <si>
    <t xml:space="preserve">Cold-set beef shin terrine on toast with aji limo pickle. Cheap cut, zero service risk.</t>
  </si>
  <si>
    <t xml:space="preserve">Osobuco/falda, aji limo</t>
  </si>
  <si>
    <t xml:space="preserve">Surquillo N.1</t>
  </si>
  <si>
    <t xml:space="preserve">Whisky-Cured Trout Blinis</t>
  </si>
  <si>
    <t xml:space="preserve">Gravadlax / cured salmon</t>
  </si>
  <si>
    <t xml:space="preserve">Nordic</t>
  </si>
  <si>
    <t xml:space="preserve">Trout cured in whisky, sugar and dill; aguaymanto compote to cut the fat.</t>
  </si>
  <si>
    <t xml:space="preserve">Yes</t>
  </si>
  <si>
    <t xml:space="preserve">Trucha, aguaymanto, eneldo</t>
  </si>
  <si>
    <t xml:space="preserve">Crowdie &amp; Aguaymanto Oatcakes</t>
  </si>
  <si>
    <t xml:space="preserve">Crowdie</t>
  </si>
  <si>
    <t xml:space="preserve">Scotland's fresh cheese made locally from queso fresco curd; aguaymanto chutney.</t>
  </si>
  <si>
    <t xml:space="preserve">Queso fresco, aguaymanto</t>
  </si>
  <si>
    <t xml:space="preserve">Smoked Paiche Pate</t>
  </si>
  <si>
    <t xml:space="preserve">Arbroath smokie pate</t>
  </si>
  <si>
    <t xml:space="preserve">Hot-smoked Amazonian paiche whipped with butter and lemon, served with oatcakes.</t>
  </si>
  <si>
    <t xml:space="preserve">Paiche, mantequilla</t>
  </si>
  <si>
    <t xml:space="preserve">Stovie Croquettes</t>
  </si>
  <si>
    <t xml:space="preserve">Stovies</t>
  </si>
  <si>
    <t xml:space="preserve">Slow-stewed potato and beef rolled, crumbed and fried; huacatay cream.</t>
  </si>
  <si>
    <t xml:space="preserve">Papa, carne, huacatay</t>
  </si>
  <si>
    <t xml:space="preserve">Cock-a-Leekie Tartlets</t>
  </si>
  <si>
    <t xml:space="preserve">Cock-a-leekie</t>
  </si>
  <si>
    <t xml:space="preserve">Chicken and leek in a savoury shell; choclo replaces the traditional prunes for sweetness.</t>
  </si>
  <si>
    <t xml:space="preserve">Pollo, poro, choclo</t>
  </si>
  <si>
    <t xml:space="preserve">Makro; Surquillo N.1</t>
  </si>
  <si>
    <t xml:space="preserve">Anticucho, Whisky Glaze</t>
  </si>
  <si>
    <t xml:space="preserve">Anticucho (Peruvian base)</t>
  </si>
  <si>
    <t xml:space="preserve">Peruvian</t>
  </si>
  <si>
    <t xml:space="preserve">Beef heart skewer glazed with whisky and chancaca instead of the usual panca-vinegar finish.</t>
  </si>
  <si>
    <t xml:space="preserve">Corazon de res, aji panca, chancaca</t>
  </si>
  <si>
    <t xml:space="preserve">Chicharron &amp; Black Pudding Buns</t>
  </si>
  <si>
    <t xml:space="preserve">Pan con chicharron (Peruvian base)</t>
  </si>
  <si>
    <t xml:space="preserve">Mini bun with slow-roast pork, but black pudding replaces the camote slice.</t>
  </si>
  <si>
    <t xml:space="preserve">Panceta, morcilla, salsa criolla</t>
  </si>
  <si>
    <t xml:space="preserve">Artisanal butcher</t>
  </si>
  <si>
    <t xml:space="preserve">Prawn Cocktail Chifles</t>
  </si>
  <si>
    <t xml:space="preserve">Prawn cocktail</t>
  </si>
  <si>
    <t xml:space="preserve">English</t>
  </si>
  <si>
    <t xml:space="preserve">Marie Rose prawns on a crisp plantain chifle instead of a lettuce cup.</t>
  </si>
  <si>
    <t xml:space="preserve">Langostinos, platano, limon</t>
  </si>
  <si>
    <t xml:space="preserve">Devils on Horseback</t>
  </si>
  <si>
    <t xml:space="preserve">Devils on horseback</t>
  </si>
  <si>
    <t xml:space="preserve">Bacon-wrapped date; local higo and a pecan replace the almond stuffing.</t>
  </si>
  <si>
    <t xml:space="preserve">Higos, tocino, pecanas</t>
  </si>
  <si>
    <t xml:space="preserve">Tortilla &amp; Morcilla Pintxo</t>
  </si>
  <si>
    <t xml:space="preserve">Pintxo de tortilla</t>
  </si>
  <si>
    <t xml:space="preserve">Basque</t>
  </si>
  <si>
    <t xml:space="preserve">Potato tortilla square topped with morcilla and piquillo; native potato base.</t>
  </si>
  <si>
    <t xml:space="preserve">Papa amarilla, morcilla, huevo</t>
  </si>
  <si>
    <t xml:space="preserve">Gilda Pintxo, Aji Limo</t>
  </si>
  <si>
    <t xml:space="preserve">Gilda</t>
  </si>
  <si>
    <t xml:space="preserve">The classic olive-anchovy-guindilla skewer with Tacna olive and aji limo.</t>
  </si>
  <si>
    <t xml:space="preserve">Aceituna de Tacna, anchoas, aji limo</t>
  </si>
  <si>
    <t xml:space="preserve">Surquillo N.1; importer</t>
  </si>
  <si>
    <t xml:space="preserve">Spanakopita Cigars</t>
  </si>
  <si>
    <t xml:space="preserve">Spanakopita</t>
  </si>
  <si>
    <t xml:space="preserve">Greek</t>
  </si>
  <si>
    <t xml:space="preserve">Filo cigars of spinach with queso paria standing in for feta.</t>
  </si>
  <si>
    <t xml:space="preserve">Espinaca, queso paria</t>
  </si>
  <si>
    <t xml:space="preserve">Surquillo N.1; importer (filo)</t>
  </si>
  <si>
    <t xml:space="preserve">Keftedes with Huacatay</t>
  </si>
  <si>
    <t xml:space="preserve">Keftedes</t>
  </si>
  <si>
    <t xml:space="preserve">Lamb meatballs where huacatay does the work of mint; yoghurt-rocoto dip.</t>
  </si>
  <si>
    <t xml:space="preserve">Cordero, huacatay, yogurt</t>
  </si>
  <si>
    <t xml:space="preserve">Rye &amp; Trout Smorrebrod Bites</t>
  </si>
  <si>
    <t xml:space="preserve">Smorrebrod</t>
  </si>
  <si>
    <t xml:space="preserve">Dark rye squares, cured trout, pickled red onion, dill. Holds cold for hours.</t>
  </si>
  <si>
    <t xml:space="preserve">Trucha, cebolla roja, centeno</t>
  </si>
  <si>
    <t xml:space="preserve">Terminal Pesquero VMT; Makro</t>
  </si>
  <si>
    <t xml:space="preserve">Quail Scotch Eggs</t>
  </si>
  <si>
    <t xml:space="preserve">Scotch egg</t>
  </si>
  <si>
    <t xml:space="preserve">Quail egg wrapped in morcilla-spiked sausage meat, crumbed and fried.</t>
  </si>
  <si>
    <t xml:space="preserve">Huevo de codorniz, carne molida, morcilla</t>
  </si>
  <si>
    <t xml:space="preserve">Makro; artisanal butcher</t>
  </si>
  <si>
    <t xml:space="preserve">Lomo Wellington</t>
  </si>
  <si>
    <t xml:space="preserve">Beef Wellington</t>
  </si>
  <si>
    <t xml:space="preserve">Main</t>
  </si>
  <si>
    <t xml:space="preserve">Peruvian tenderloin, mushroom duxelles, aji amarillo demi-glace. Showpiece only - do not put on the standing menu.</t>
  </si>
  <si>
    <t xml:space="preserve">Plated</t>
  </si>
  <si>
    <t xml:space="preserve">Lomo fino, championes, aji amarillo</t>
  </si>
  <si>
    <t xml:space="preserve">Oregon Foods</t>
  </si>
  <si>
    <t xml:space="preserve">Chicken Balmoral</t>
  </si>
  <si>
    <t xml:space="preserve">Breast stuffed with haggis-spiced morcilla, wrapped in local bacon, whisky cream sauce.</t>
  </si>
  <si>
    <t xml:space="preserve">Pollo, morcilla, tocino</t>
  </si>
  <si>
    <t xml:space="preserve">Cullen Skink Chupe</t>
  </si>
  <si>
    <t xml:space="preserve">Smoked paiche or trout replaces haddock; native potatoes stay. Your signature soup.</t>
  </si>
  <si>
    <t xml:space="preserve">Buffet</t>
  </si>
  <si>
    <t xml:space="preserve">Paiche/trucha ahumada, papa nativa, poro</t>
  </si>
  <si>
    <t xml:space="preserve">Scotch Pie</t>
  </si>
  <si>
    <t xml:space="preserve">Full-size hot-water crust pie, cordero and aji panca, served with beans or clapshot.</t>
  </si>
  <si>
    <t xml:space="preserve">Cordero, aji panca</t>
  </si>
  <si>
    <t xml:space="preserve">Hogmanay Steak Pie</t>
  </si>
  <si>
    <t xml:space="preserve">Steak pie</t>
  </si>
  <si>
    <t xml:space="preserve">New Year tradition; beef braised in dark beer with a chicha de jora note, puff lid.</t>
  </si>
  <si>
    <t xml:space="preserve">Asado de tira, cerveza negra, chicha de jora</t>
  </si>
  <si>
    <t xml:space="preserve">Haggis Shepherd's Pie</t>
  </si>
  <si>
    <t xml:space="preserve">Shepherd's pie</t>
  </si>
  <si>
    <t xml:space="preserve">Haggis-spiced lamb base under a buttery native yellow potato mash.</t>
  </si>
  <si>
    <t xml:space="preserve">Cordero, papa amarilla</t>
  </si>
  <si>
    <t xml:space="preserve">Mince &amp; Tatties</t>
  </si>
  <si>
    <t xml:space="preserve">Mince and tatties</t>
  </si>
  <si>
    <t xml:space="preserve">Beef mince in an aji panca gravy over yellow potato mash. Cheapest main on the matrix.</t>
  </si>
  <si>
    <t xml:space="preserve">Carne molida, aji panca, papa amarilla</t>
  </si>
  <si>
    <t xml:space="preserve">Slow-stewed potato, onion and leftover roast; served with oatcakes to scoop.</t>
  </si>
  <si>
    <t xml:space="preserve">Papa blanca, cebolla, carne</t>
  </si>
  <si>
    <t xml:space="preserve">Scotch Broth with Quinoa</t>
  </si>
  <si>
    <t xml:space="preserve">Scotch broth</t>
  </si>
  <si>
    <t xml:space="preserve">Quinoa carries the barley role alongside lamb and root vegetables.</t>
  </si>
  <si>
    <t xml:space="preserve">Cordero, quinua, zanahoria, nabo</t>
  </si>
  <si>
    <t xml:space="preserve">Mercado de Magdalena; Makro</t>
  </si>
  <si>
    <t xml:space="preserve">Cock-a-Leekie</t>
  </si>
  <si>
    <t xml:space="preserve">Chicken and leek broth; choclo replaces prunes, thickened with rice as tradition allows.</t>
  </si>
  <si>
    <t xml:space="preserve">Glasgow Tikka Masala</t>
  </si>
  <si>
    <t xml:space="preserve">Chicken tikka masala</t>
  </si>
  <si>
    <t xml:space="preserve">Scottish (Glasgow)</t>
  </si>
  <si>
    <t xml:space="preserve">Glasgow's own claim to the dish, rebuilt on an aji amarillo and panca base. The crowd-pleaser that needs no explaining.</t>
  </si>
  <si>
    <t xml:space="preserve">Pollo, aji amarillo, aji panca, crema</t>
  </si>
  <si>
    <t xml:space="preserve">Bangers &amp; Chicha Mash</t>
  </si>
  <si>
    <t xml:space="preserve">Bangers and mash</t>
  </si>
  <si>
    <t xml:space="preserve">Local butcher sausage with an onion gravy built on chicha de jora.</t>
  </si>
  <si>
    <t xml:space="preserve">Salchicha artesanal, chicha de jora, papa</t>
  </si>
  <si>
    <t xml:space="preserve">Artisanal butcher; Surquillo N.1</t>
  </si>
  <si>
    <t xml:space="preserve">Fish Supper, Yuca Chips</t>
  </si>
  <si>
    <t xml:space="preserve">Fish and chips</t>
  </si>
  <si>
    <t xml:space="preserve">Chita or cabrilla in beer batter, thick yuca chips, chicha-vinegar and chippy-sauce riff.</t>
  </si>
  <si>
    <t xml:space="preserve">Chita/cabrilla, yuca, cerveza</t>
  </si>
  <si>
    <t xml:space="preserve">Roast Lamb, Huacatay Crust</t>
  </si>
  <si>
    <t xml:space="preserve">Roast lamb</t>
  </si>
  <si>
    <t xml:space="preserve">Andean lamb with a huacatay and oat crust in place of wild garlic and breadcrumb.</t>
  </si>
  <si>
    <t xml:space="preserve">Cordero andino, huacatay, avena</t>
  </si>
  <si>
    <t xml:space="preserve">Whisky &amp; Chancaca Pork Belly</t>
  </si>
  <si>
    <t xml:space="preserve">Whisky-glazed pork</t>
  </si>
  <si>
    <t xml:space="preserve">Slow pork belly lacquered with whisky and chancaca; crackling finished to order.</t>
  </si>
  <si>
    <t xml:space="preserve">Panceta de cerdo, chancaca</t>
  </si>
  <si>
    <t xml:space="preserve">Irn Bru Glazed Ham</t>
  </si>
  <si>
    <t xml:space="preserve">Irn Bru glazed ham</t>
  </si>
  <si>
    <t xml:space="preserve">Whole gammon glazed with reduced Irn Bru - a far better use of an expensive imported can than pouring it.</t>
  </si>
  <si>
    <t xml:space="preserve">Pierna de cerdo, Irn Bru (import), clavo</t>
  </si>
  <si>
    <t xml:space="preserve">Artisanal butcher; UK importer</t>
  </si>
  <si>
    <t xml:space="preserve">Souvlaki de Cordero</t>
  </si>
  <si>
    <t xml:space="preserve">Souvlaki</t>
  </si>
  <si>
    <t xml:space="preserve">Skewered lamb, oregano and huacatay, with a pita or pan chuta option.</t>
  </si>
  <si>
    <t xml:space="preserve">Cordero, oregano, huacatay</t>
  </si>
  <si>
    <t xml:space="preserve">Corvina al Pil-Pil</t>
  </si>
  <si>
    <t xml:space="preserve">Bacalao al pil-pil</t>
  </si>
  <si>
    <t xml:space="preserve">Local corvina emulsified in olive oil and garlic; Tacna olive and aji limo finish.</t>
  </si>
  <si>
    <t xml:space="preserve">Corvina, aceite de oliva, aji limo</t>
  </si>
  <si>
    <t xml:space="preserve">Paiche Gravlax Plate</t>
  </si>
  <si>
    <t xml:space="preserve">Gravlax</t>
  </si>
  <si>
    <t xml:space="preserve">Cured paiche or trout, mustard-algarrobina sauce, rye and pickles. Zero cooking on site.</t>
  </si>
  <si>
    <t xml:space="preserve">Paiche/trucha, algarrobina, mostaza</t>
  </si>
  <si>
    <t xml:space="preserve">Neeps &amp; Tatties Wellington</t>
  </si>
  <si>
    <t xml:space="preserve">Neeps and tatties</t>
  </si>
  <si>
    <t xml:space="preserve">Vegetarian centrepiece: root purees and mushroom in puff pastry, aji amarillo jus.</t>
  </si>
  <si>
    <t xml:space="preserve">Nabo, zapallo, papa, championes</t>
  </si>
  <si>
    <t xml:space="preserve">Rumbledethumps</t>
  </si>
  <si>
    <t xml:space="preserve">Side</t>
  </si>
  <si>
    <t xml:space="preserve">Potato and cabbage bake using native potatoes and queso paria on top.</t>
  </si>
  <si>
    <t xml:space="preserve">Papa nativa, col, queso paria</t>
  </si>
  <si>
    <t xml:space="preserve">Clapshot</t>
  </si>
  <si>
    <t xml:space="preserve">Orkney mash of potato and swede; zapallo loche adds depth the swede alone cannot.</t>
  </si>
  <si>
    <t xml:space="preserve">Papa, nabo, zapallo loche</t>
  </si>
  <si>
    <t xml:space="preserve">Neeps &amp; Tatties Causa</t>
  </si>
  <si>
    <t xml:space="preserve">Served as a cold causa: layered yellow potato with a swede and carrot puree.</t>
  </si>
  <si>
    <t xml:space="preserve">Papa amarilla, nabo, zanahoria</t>
  </si>
  <si>
    <t xml:space="preserve">Quinoa Skirlie</t>
  </si>
  <si>
    <t xml:space="preserve">Skirlie</t>
  </si>
  <si>
    <t xml:space="preserve">Toasted quinoa and oats fried with onion in dripping - a direct one-for-one swap.</t>
  </si>
  <si>
    <t xml:space="preserve">Quinua, avena, cebolla</t>
  </si>
  <si>
    <t xml:space="preserve">Makro</t>
  </si>
  <si>
    <t xml:space="preserve">Colcannon with Kale</t>
  </si>
  <si>
    <t xml:space="preserve">Colcannon</t>
  </si>
  <si>
    <t xml:space="preserve">Mash through kale and spring onion; native potato changes the texture for the better.</t>
  </si>
  <si>
    <t xml:space="preserve">Papa nativa, kale, cebolla china</t>
  </si>
  <si>
    <t xml:space="preserve">Tattie Scones</t>
  </si>
  <si>
    <t xml:space="preserve">Griddled potato flatbread. Cheapest, most useful item you own - base for a dozen others.</t>
  </si>
  <si>
    <t xml:space="preserve">Papa amarilla, harina</t>
  </si>
  <si>
    <t xml:space="preserve">Surquillo N.1; Makro</t>
  </si>
  <si>
    <t xml:space="preserve">Oatcakes (three thicknesses)</t>
  </si>
  <si>
    <t xml:space="preserve">Oatcakes</t>
  </si>
  <si>
    <t xml:space="preserve">Platform product: thin for canapes, thick for cheese, fine for pate.</t>
  </si>
  <si>
    <t xml:space="preserve">Avena, sal, manteca</t>
  </si>
  <si>
    <t xml:space="preserve">Yorkshire Puddings</t>
  </si>
  <si>
    <t xml:space="preserve">Yorkshire pudding</t>
  </si>
  <si>
    <t xml:space="preserve">Classic batter with a rosemary note; must be baked on site or served within the hour.</t>
  </si>
  <si>
    <t xml:space="preserve">Harina, huevo, leche</t>
  </si>
  <si>
    <t xml:space="preserve">Buttered Choclo &amp; Kale</t>
  </si>
  <si>
    <t xml:space="preserve">Buttered greens</t>
  </si>
  <si>
    <t xml:space="preserve">Giant Andean corn and kale in brown butter.</t>
  </si>
  <si>
    <t xml:space="preserve">Choclo, kale, mantequilla</t>
  </si>
  <si>
    <t xml:space="preserve">Andean Root Mash</t>
  </si>
  <si>
    <t xml:space="preserve">Mashed root vegetables</t>
  </si>
  <si>
    <t xml:space="preserve">Camote and papa amarilla whipped with European butter.</t>
  </si>
  <si>
    <t xml:space="preserve">Camote, papa amarilla, mantequilla</t>
  </si>
  <si>
    <t xml:space="preserve">Surquillo N.1; Vivanda</t>
  </si>
  <si>
    <t xml:space="preserve">Chicha-Braised Red Cabbage</t>
  </si>
  <si>
    <t xml:space="preserve">Braised red cabbage</t>
  </si>
  <si>
    <t xml:space="preserve">Chicha morada replaces the red wine and spice in the braise.</t>
  </si>
  <si>
    <t xml:space="preserve">Col morada, chicha morada, canela</t>
  </si>
  <si>
    <t xml:space="preserve">Ica Asparagus, Algarrobina</t>
  </si>
  <si>
    <t xml:space="preserve">Asparagus with heather honey</t>
  </si>
  <si>
    <t xml:space="preserve">Roasted Ica asparagus finished with algarrobina instead of heather honey.</t>
  </si>
  <si>
    <t xml:space="preserve">Esparragos de Ica, algarrobina</t>
  </si>
  <si>
    <t xml:space="preserve">Full Scottish Brunch (station)</t>
  </si>
  <si>
    <t xml:space="preserve">Full Scottish breakfast</t>
  </si>
  <si>
    <t xml:space="preserve">Breakfast</t>
  </si>
  <si>
    <t xml:space="preserve">Live plancha service: eggs, bacon, Lorne, black pudding, tattie scone, house beans with chancaca-tomato base.</t>
  </si>
  <si>
    <t xml:space="preserve">Huevos, tocino, morcilla, papa, frijoles</t>
  </si>
  <si>
    <t xml:space="preserve">The Glasgow Roll</t>
  </si>
  <si>
    <t xml:space="preserve">Morning roll with square sausage</t>
  </si>
  <si>
    <t xml:space="preserve">Morning roll, Lorne sausage, tattie scone, fried egg, brown sauce. Your corporate breakfast workhorse.</t>
  </si>
  <si>
    <t xml:space="preserve">Pan, carne molida, papa, huevo</t>
  </si>
  <si>
    <t xml:space="preserve">Local bakery; Makro</t>
  </si>
  <si>
    <t xml:space="preserve">Butteries (Aberdeen rowies)</t>
  </si>
  <si>
    <t xml:space="preserve">Buttery / rowie</t>
  </si>
  <si>
    <t xml:space="preserve">Laminated, salty, nothing like it in Lima. Sell alongside lucuma marmalade.</t>
  </si>
  <si>
    <t xml:space="preserve">Harina, manteca, mantequilla</t>
  </si>
  <si>
    <t xml:space="preserve">Porridge with Kiwicha</t>
  </si>
  <si>
    <t xml:space="preserve">Scottish porridge</t>
  </si>
  <si>
    <t xml:space="preserve">Steel-cut oats blended with kiwicha, topped with local berries and algarrobina.</t>
  </si>
  <si>
    <t xml:space="preserve">Avena, kiwicha, aguaymanto</t>
  </si>
  <si>
    <t xml:space="preserve">Lucuma Drop Scones</t>
  </si>
  <si>
    <t xml:space="preserve">Drop scone / Scotch pancake</t>
  </si>
  <si>
    <t xml:space="preserve">Griddle pancakes with lucuma in the batter and manjar blanco to serve.</t>
  </si>
  <si>
    <t xml:space="preserve">Lucuma, harina, huevo</t>
  </si>
  <si>
    <t xml:space="preserve">Bacon Butty, Salsa Criolla</t>
  </si>
  <si>
    <t xml:space="preserve">Bacon butty</t>
  </si>
  <si>
    <t xml:space="preserve">Buttered roll, bacon, and salsa criolla instead of ketchup.</t>
  </si>
  <si>
    <t xml:space="preserve">Tocino, pan, cebolla, limon</t>
  </si>
  <si>
    <t xml:space="preserve">Tattie Scone Benedict</t>
  </si>
  <si>
    <t xml:space="preserve">Eggs Benedict on tattie scone</t>
  </si>
  <si>
    <t xml:space="preserve">Potato scone base, poached egg, aji amarillo hollandaise, black pudding.</t>
  </si>
  <si>
    <t xml:space="preserve">Papa amarilla, huevo, aji amarillo</t>
  </si>
  <si>
    <t xml:space="preserve">Lucuma-Dundee Marmalade &amp; Brioche</t>
  </si>
  <si>
    <t xml:space="preserve">Dundee marmalade</t>
  </si>
  <si>
    <t xml:space="preserve">Dundee's thick-cut bitter marmalade method applied to lucuma and Peruvian orange.</t>
  </si>
  <si>
    <t xml:space="preserve">Lucuma, naranja agria, azucar</t>
  </si>
  <si>
    <t xml:space="preserve">Camote Crumpets</t>
  </si>
  <si>
    <t xml:space="preserve">Crumpets</t>
  </si>
  <si>
    <t xml:space="preserve">Crumpet batter enriched with sweet potato puree; salted butter to serve.</t>
  </si>
  <si>
    <t xml:space="preserve">Camote, harina, levadura</t>
  </si>
  <si>
    <t xml:space="preserve">Black Pudding Hash</t>
  </si>
  <si>
    <t xml:space="preserve">Black pudding hash</t>
  </si>
  <si>
    <t xml:space="preserve">Native potato hash with morcilla and a soft egg. Holds better than a full fry-up.</t>
  </si>
  <si>
    <t xml:space="preserve">Papa nativa, morcilla, huevo</t>
  </si>
  <si>
    <t xml:space="preserve">The Edinburgh Bowl</t>
  </si>
  <si>
    <t xml:space="preserve">Smoked fish salad</t>
  </si>
  <si>
    <t xml:space="preserve">Bowl</t>
  </si>
  <si>
    <t xml:space="preserve">Smoked trout, roasted native potato, watercress, aji limo vinaigrette.</t>
  </si>
  <si>
    <t xml:space="preserve">Trucha, papa nativa, berros, aji limo</t>
  </si>
  <si>
    <t xml:space="preserve">Lomo Saltado Oat Bowl</t>
  </si>
  <si>
    <t xml:space="preserve">Stovies / hash</t>
  </si>
  <si>
    <t xml:space="preserve">Lomo saltado over toasted highland oats instead of rice, with hand-cut chips.</t>
  </si>
  <si>
    <t xml:space="preserve">Lomo, avena, papa, sillao</t>
  </si>
  <si>
    <t xml:space="preserve">Oregon Foods; Makro</t>
  </si>
  <si>
    <t xml:space="preserve">Coronation Chicken Quinoa</t>
  </si>
  <si>
    <t xml:space="preserve">Coronation chicken</t>
  </si>
  <si>
    <t xml:space="preserve">Curried mayo chicken over chilled tricolour quinoa.</t>
  </si>
  <si>
    <t xml:space="preserve">Pollo, quinua, curry, pasas</t>
  </si>
  <si>
    <t xml:space="preserve">Ploughman's Box</t>
  </si>
  <si>
    <t xml:space="preserve">Ploughman's lunch</t>
  </si>
  <si>
    <t xml:space="preserve">Mature cheddar, local ham, sourdough, aguaymanto chutney, oatcakes.</t>
  </si>
  <si>
    <t xml:space="preserve">Queso, jamon, pan, aguaymanto</t>
  </si>
  <si>
    <t xml:space="preserve">Importer; local bakery</t>
  </si>
  <si>
    <t xml:space="preserve">Cullen Skink Bowl</t>
  </si>
  <si>
    <t xml:space="preserve">Thermos-served chowder with an oatcake pack. Winter corporate staple.</t>
  </si>
  <si>
    <t xml:space="preserve">Paiche/trucha ahumada, papa</t>
  </si>
  <si>
    <t xml:space="preserve">Greek Mezze Box</t>
  </si>
  <si>
    <t xml:space="preserve">Mezze</t>
  </si>
  <si>
    <t xml:space="preserve">Mezze is piqueo. Keftedes, spanakopita, tzatziki with rocoto, Tacna olives, pita.</t>
  </si>
  <si>
    <t xml:space="preserve">Cordero, queso paria, aceitunas, rocoto</t>
  </si>
  <si>
    <t xml:space="preserve">Nordic Cure Box</t>
  </si>
  <si>
    <t xml:space="preserve">Smorrebrod platter</t>
  </si>
  <si>
    <t xml:space="preserve">Cured trout, pickles, rye, mustard-algarrobina. Entirely cold, zero service risk.</t>
  </si>
  <si>
    <t xml:space="preserve">Trucha, centeno, algarrobina</t>
  </si>
  <si>
    <t xml:space="preserve">Pollo a la Brasa Pie</t>
  </si>
  <si>
    <t xml:space="preserve">British individual pie</t>
  </si>
  <si>
    <t xml:space="preserve">Rotisserie chicken flavours baked into a shortcrust pie with aji verde on the side.</t>
  </si>
  <si>
    <t xml:space="preserve">Pollo, huacatay, aji amarillo</t>
  </si>
  <si>
    <t xml:space="preserve">Petticoat Tails, Cacao Nib</t>
  </si>
  <si>
    <t xml:space="preserve">Petticoat tails</t>
  </si>
  <si>
    <t xml:space="preserve">Bakery</t>
  </si>
  <si>
    <t xml:space="preserve">The wedge-cut shortbread, studded with Peruvian cacao nibs. Gift-box ready.</t>
  </si>
  <si>
    <t xml:space="preserve">Mantequilla, harina, nibs de cacao</t>
  </si>
  <si>
    <t xml:space="preserve">Makro; local cacao distributor</t>
  </si>
  <si>
    <t xml:space="preserve">Lucuma Millionaire's Shortbread</t>
  </si>
  <si>
    <t xml:space="preserve">Millionaire's shortbread</t>
  </si>
  <si>
    <t xml:space="preserve">Shortbread base, lucuma manjar blanco caramel, 70% Peruvian dark chocolate top.</t>
  </si>
  <si>
    <t xml:space="preserve">Lucuma, manjar blanco, cacao 70%</t>
  </si>
  <si>
    <t xml:space="preserve">Surquillo N.1; cacao distributor</t>
  </si>
  <si>
    <t xml:space="preserve">Whisky &amp; Maca Alfajores</t>
  </si>
  <si>
    <t xml:space="preserve">Shortbread sandwich biscuit</t>
  </si>
  <si>
    <t xml:space="preserve">Maca-spiked shortbread around single-malt manjar blanco.</t>
  </si>
  <si>
    <t xml:space="preserve">Maca, manjar blanco, harina</t>
  </si>
  <si>
    <t xml:space="preserve">Scottish Macaroon (Papa Amarilla)</t>
  </si>
  <si>
    <t xml:space="preserve">Scottish macaroon</t>
  </si>
  <si>
    <t xml:space="preserve">The flagship. A Scottish sweet whose secret ingredient is mashed potato, made in the country that domesticated it - native potato fondant, Peruvian cacao, coconut.</t>
  </si>
  <si>
    <t xml:space="preserve">Papa amarilla, azucar impalpable, cacao, coco</t>
  </si>
  <si>
    <t xml:space="preserve">Lucuma Tablet</t>
  </si>
  <si>
    <t xml:space="preserve">Tablet</t>
  </si>
  <si>
    <t xml:space="preserve">Crumbly Scottish fudge with lucuma pulp folded through. Shelf-stable, ships anywhere.</t>
  </si>
  <si>
    <t xml:space="preserve">Azucar, leche condensada, lucuma</t>
  </si>
  <si>
    <t xml:space="preserve">Cacao &amp; Sea Salt Tablet</t>
  </si>
  <si>
    <t xml:space="preserve">Same base, Peruvian cacao and Maras salt. Two SKUs from one technique.</t>
  </si>
  <si>
    <t xml:space="preserve">Azucar, leche condensada, cacao, sal de Maras</t>
  </si>
  <si>
    <t xml:space="preserve">Makro; cacao distributor</t>
  </si>
  <si>
    <t xml:space="preserve">Maracuya Empire Biscuits</t>
  </si>
  <si>
    <t xml:space="preserve">Empire biscuit</t>
  </si>
  <si>
    <t xml:space="preserve">Shortbread sandwich with maracuya jam and glace icing. Origin contested - tag honestly.</t>
  </si>
  <si>
    <t xml:space="preserve">Maracuya, harina, mantequilla</t>
  </si>
  <si>
    <t xml:space="preserve">Dundee Cake, Pecan &amp; Aguaymanto</t>
  </si>
  <si>
    <t xml:space="preserve">Dundee cake</t>
  </si>
  <si>
    <t xml:space="preserve">Almonds become pecans, candied peel becomes candied aguaymanto, whisky optional.</t>
  </si>
  <si>
    <t xml:space="preserve">Pecanas, aguaymanto, pasas</t>
  </si>
  <si>
    <t xml:space="preserve">Ecclefechan Tart, Chancaca</t>
  </si>
  <si>
    <t xml:space="preserve">Ecclefechan tart</t>
  </si>
  <si>
    <t xml:space="preserve">Dried fruit and butter tart with chancaca replacing golden syrup.</t>
  </si>
  <si>
    <t xml:space="preserve">Chancaca, pasas, mantequilla</t>
  </si>
  <si>
    <t xml:space="preserve">Border Tart</t>
  </si>
  <si>
    <t xml:space="preserve">Border tart</t>
  </si>
  <si>
    <t xml:space="preserve">Almond and dried fruit tart; pecan and higo swap, lemon glaze.</t>
  </si>
  <si>
    <t xml:space="preserve">Pecanas, higos, limon</t>
  </si>
  <si>
    <t xml:space="preserve">Black Bun</t>
  </si>
  <si>
    <t xml:space="preserve">Black bun</t>
  </si>
  <si>
    <t xml:space="preserve">Pastry-wrapped fruitcake for Hogmanay. A dated, bookable product, not a menu item.</t>
  </si>
  <si>
    <t xml:space="preserve">Pasas, especias, harina, pisco/whisky</t>
  </si>
  <si>
    <t xml:space="preserve">Clootie Dumpling</t>
  </si>
  <si>
    <t xml:space="preserve">Clootie dumpling</t>
  </si>
  <si>
    <t xml:space="preserve">Dessert</t>
  </si>
  <si>
    <t xml:space="preserve">Steamed spiced fruit pudding - reads Peruvian-adjacent because it is steamed. Serve with algarrobina custard.</t>
  </si>
  <si>
    <t xml:space="preserve">Pasas, avena, especias, algarrobina</t>
  </si>
  <si>
    <t xml:space="preserve">Fly Cemetery Slice</t>
  </si>
  <si>
    <t xml:space="preserve">Fly cemetery / fruit slice</t>
  </si>
  <si>
    <t xml:space="preserve">Shortcrust sandwich of currants and raisins; a splash of whisky in the filling.</t>
  </si>
  <si>
    <t xml:space="preserve">Pasas, harina, mantequilla</t>
  </si>
  <si>
    <t xml:space="preserve">Selkirk Bannock</t>
  </si>
  <si>
    <t xml:space="preserve">Selkirk bannock</t>
  </si>
  <si>
    <t xml:space="preserve">Enriched fruited bread; sultanas plus candied lucuma.</t>
  </si>
  <si>
    <t xml:space="preserve">Pasas, lucuma, harina</t>
  </si>
  <si>
    <t xml:space="preserve">Sultana Tea Loaf</t>
  </si>
  <si>
    <t xml:space="preserve">Sultana loaf cake</t>
  </si>
  <si>
    <t xml:space="preserve">Simple tea loaf soaked in black tea and pisco. Afternoon-tea backbone.</t>
  </si>
  <si>
    <t xml:space="preserve">Pasas, te, pisco</t>
  </si>
  <si>
    <t xml:space="preserve">Quinoa &amp; Cacao Flapjacks</t>
  </si>
  <si>
    <t xml:space="preserve">Flapjack</t>
  </si>
  <si>
    <t xml:space="preserve">Oat and quinoa flapjack bound with chancaca, dark chocolate base.</t>
  </si>
  <si>
    <t xml:space="preserve">Avena, quinua, chancaca, cacao</t>
  </si>
  <si>
    <t xml:space="preserve">Chirimoya Cranachan Cups</t>
  </si>
  <si>
    <t xml:space="preserve">Cranachan</t>
  </si>
  <si>
    <t xml:space="preserve">Toasted oats, pisco-or-whisky cream, chirimoya puree, algarrobina instead of honey.</t>
  </si>
  <si>
    <t xml:space="preserve">Chirimoya, avena, algarrobina, crema</t>
  </si>
  <si>
    <t xml:space="preserve">Tipsy Laird</t>
  </si>
  <si>
    <t xml:space="preserve">Tipsy laird (whisky trifle)</t>
  </si>
  <si>
    <t xml:space="preserve">Whisky where the English trifle uses sherry. No-bake, assembles ahead, scales to any headcount - your best catering dessert.</t>
  </si>
  <si>
    <t xml:space="preserve">Bizcocho, berries, crema, whisky</t>
  </si>
  <si>
    <t xml:space="preserve">Caledonian Cream</t>
  </si>
  <si>
    <t xml:space="preserve">Caledonian cream</t>
  </si>
  <si>
    <t xml:space="preserve">Whipped cream, whisky, marmalade and citrus zest - here with the lucuma-Dundee marmalade.</t>
  </si>
  <si>
    <t xml:space="preserve">Crema, lucuma, naranja, whisky</t>
  </si>
  <si>
    <t xml:space="preserve">Vivanda; Surquillo N.1</t>
  </si>
  <si>
    <t xml:space="preserve">Chancaca Sticky Toffee</t>
  </si>
  <si>
    <t xml:space="preserve">Sticky toffee pudding</t>
  </si>
  <si>
    <t xml:space="preserve">Disputed (Lake District / Scotland)</t>
  </si>
  <si>
    <t xml:space="preserve">Date sponge with chancaca toffee. Flag the contested origin on the dish card.</t>
  </si>
  <si>
    <t xml:space="preserve">Datiles, chancaca, crema</t>
  </si>
  <si>
    <t xml:space="preserve">The Fresa Teacake</t>
  </si>
  <si>
    <t xml:space="preserve">Tunnock's-style teacake</t>
  </si>
  <si>
    <t xml:space="preserve">Wholewheat shortbread dome, freeze-dried strawberry mallow, 70% Peruvian chocolate.</t>
  </si>
  <si>
    <t xml:space="preserve">Fresa, cacao 70%, harina integral</t>
  </si>
  <si>
    <t xml:space="preserve">Choclo &amp; Paria Scones</t>
  </si>
  <si>
    <t xml:space="preserve">Cheese scone</t>
  </si>
  <si>
    <t xml:space="preserve">Savoury scone with giant Andean corn and queso paria.</t>
  </si>
  <si>
    <t xml:space="preserve">Choclo, queso paria, harina</t>
  </si>
  <si>
    <t xml:space="preserve">Loukoumades, Algarrobina</t>
  </si>
  <si>
    <t xml:space="preserve">Loukoumades</t>
  </si>
  <si>
    <t xml:space="preserve">Honey doughnuts finished with algarrobina and toasted quinoa.</t>
  </si>
  <si>
    <t xml:space="preserve">Harina, algarrobina, quinua</t>
  </si>
  <si>
    <t xml:space="preserve">Galaktoboureko, Lucuma</t>
  </si>
  <si>
    <t xml:space="preserve">Galaktoboureko</t>
  </si>
  <si>
    <t xml:space="preserve">Semolina custard in filo, lucuma in the custard. Check filo cost before you commit.</t>
  </si>
  <si>
    <t xml:space="preserve">Semola, lucuma, masa filo</t>
  </si>
  <si>
    <t xml:space="preserve">Importer; Surquillo N.1</t>
  </si>
  <si>
    <t xml:space="preserve">Cardamom &amp; Cacao Buns</t>
  </si>
  <si>
    <t xml:space="preserve">Kanelbullar / kardemummabullar</t>
  </si>
  <si>
    <t xml:space="preserve">Laminated cardamom buns with a cacao-nib sugar. Pairs with the buttery on a breakfast board.</t>
  </si>
  <si>
    <t xml:space="preserve">Harina, cardamomo, nibs de cacao</t>
  </si>
  <si>
    <t xml:space="preserve">Makro; importer</t>
  </si>
  <si>
    <t xml:space="preserve">Atholl Brose Cream Pots</t>
  </si>
  <si>
    <t xml:space="preserve">Atholl brose</t>
  </si>
  <si>
    <t xml:space="preserve">Oatmeal, honey, cream and whisky set in pots; algarrobina for the honey.</t>
  </si>
  <si>
    <t xml:space="preserve">Avena, crema, algarrobina, whisky</t>
  </si>
  <si>
    <t xml:space="preserve">Cacao Cranachan Bars</t>
  </si>
  <si>
    <t xml:space="preserve">Cranachan rebuilt as a tray bake for boxes - oat base, berry layer, cacao top.</t>
  </si>
  <si>
    <t xml:space="preserve">Avena, aguaymanto, cacao</t>
  </si>
  <si>
    <t xml:space="preserve">Highland Toffee &amp; Maras Salt</t>
  </si>
  <si>
    <t xml:space="preserve">Highland toffee</t>
  </si>
  <si>
    <t xml:space="preserve">Hard toffee cut into shards with Maras pink salt.</t>
  </si>
  <si>
    <t xml:space="preserve">Azucar, mantequilla, sal de Maras</t>
  </si>
  <si>
    <t xml:space="preserve">Marmalade Bread Pudding</t>
  </si>
  <si>
    <t xml:space="preserve">Bread and butter pudding</t>
  </si>
  <si>
    <t xml:space="preserve">Uses day-old butteries and the lucuma marmalade - the waste-recovery dessert.</t>
  </si>
  <si>
    <t xml:space="preserve">Pan, lucuma, huevo, leche</t>
  </si>
  <si>
    <t xml:space="preserve">In-house surplus</t>
  </si>
  <si>
    <t xml:space="preserve">Whisky Toffee Tart</t>
  </si>
  <si>
    <t xml:space="preserve">Whisky toffee tart</t>
  </si>
  <si>
    <t xml:space="preserve">Set caramel tart with whisky and Maras salt on a cacao shortcrust.</t>
  </si>
  <si>
    <t xml:space="preserve">Chancaca, crema, cacao, whisky</t>
  </si>
  <si>
    <t xml:space="preserve">Rhubarb &amp; Aguaymanto Crumble</t>
  </si>
  <si>
    <t xml:space="preserve">Crumble</t>
  </si>
  <si>
    <t xml:space="preserve">Oat crumble; aguaymanto carries the sourness where rhubarb is scarce and costly here.</t>
  </si>
  <si>
    <t xml:space="preserve">Aguaymanto, avena, azucar</t>
  </si>
  <si>
    <t xml:space="preserve">Shortbread Fingers (plain)</t>
  </si>
  <si>
    <t xml:space="preserve">Shortbread</t>
  </si>
  <si>
    <t xml:space="preserve">The control product. Nothing swapped. Proves the butter and the technique.</t>
  </si>
  <si>
    <t xml:space="preserve">Mantequilla, harina, azucar</t>
  </si>
  <si>
    <t xml:space="preserve">Makro; Vivanda</t>
  </si>
  <si>
    <t xml:space="preserve">Oat &amp; Cacao Digestives</t>
  </si>
  <si>
    <t xml:space="preserve">Digestive biscuit</t>
  </si>
  <si>
    <t xml:space="preserve">Wholemeal oat biscuit half-dipped in Peruvian dark chocolate.</t>
  </si>
  <si>
    <t xml:space="preserve">Avena, harina integral, cacao</t>
  </si>
  <si>
    <t xml:space="preserve">Tzatziki con Rocoto</t>
  </si>
  <si>
    <t xml:space="preserve">Tzatziki</t>
  </si>
  <si>
    <t xml:space="preserve">Strained yoghurt, cucumber and garlic with rocoto for heat. Anchors the mezze box.</t>
  </si>
  <si>
    <t xml:space="preserve">Yogurt, pepino, rocoto, ajo</t>
  </si>
  <si>
    <t xml:space="preserve">Dolmades de Acelga y Quinua</t>
  </si>
  <si>
    <t xml:space="preserve">Dolmades</t>
  </si>
  <si>
    <t xml:space="preserve">Chard leaves replace imported vine leaves; quinoa replaces rice. Cheaper and better.</t>
  </si>
  <si>
    <t xml:space="preserve">Acelga, quinua, limon, hierbabuena</t>
  </si>
  <si>
    <t xml:space="preserve">Melitzanosalata, Aji Panca</t>
  </si>
  <si>
    <t xml:space="preserve">Melitzanosalata</t>
  </si>
  <si>
    <t xml:space="preserve">Charred aubergine dip with aji panca smoking the paste.</t>
  </si>
  <si>
    <t xml:space="preserve">Berenjena, aji panca, aceite de oliva</t>
  </si>
  <si>
    <t xml:space="preserve">Horiatiki, Tacna &amp; Paria</t>
  </si>
  <si>
    <t xml:space="preserve">Horiatiki (Greek salad)</t>
  </si>
  <si>
    <t xml:space="preserve">Queso paria for feta, Tacna olives, and local tomato. A one-for-one swap that costs less than the original.</t>
  </si>
  <si>
    <t xml:space="preserve">Tomate, pepino, aceituna de Tacna, queso paria</t>
  </si>
  <si>
    <t xml:space="preserve">Avgolemono con Choclo</t>
  </si>
  <si>
    <t xml:space="preserve">Avgolemono</t>
  </si>
  <si>
    <t xml:space="preserve">Egg-lemon chicken broth; choclo replaces the rice or orzo. Holds badly - serve within the hour.</t>
  </si>
  <si>
    <t xml:space="preserve">Pollo, huevo, limon, choclo</t>
  </si>
  <si>
    <t xml:space="preserve">Gyros de Cerdo</t>
  </si>
  <si>
    <t xml:space="preserve">Gyros</t>
  </si>
  <si>
    <t xml:space="preserve">Pork gyros carved to order; tzatziki and salsa criolla side by side in the wrap.</t>
  </si>
  <si>
    <t xml:space="preserve">Cerdo, oregano, yogurt, cebolla</t>
  </si>
  <si>
    <t xml:space="preserve">Saganaki de Paria</t>
  </si>
  <si>
    <t xml:space="preserve">Saganaki</t>
  </si>
  <si>
    <t xml:space="preserve">Pan-fried queso paria flamed with pisco instead of brandy. Pure theatre, cooked to order.</t>
  </si>
  <si>
    <t xml:space="preserve">Queso paria, pisco, limon</t>
  </si>
  <si>
    <t xml:space="preserve">Baklava de Pecana y Algarrobina</t>
  </si>
  <si>
    <t xml:space="preserve">Baklava</t>
  </si>
  <si>
    <t xml:space="preserve">Pecans for pistachios, algarrobina for the honey syrup. Filo is the cost variable - price it first.</t>
  </si>
  <si>
    <t xml:space="preserve">Pecanas, algarrobina, masa filo</t>
  </si>
  <si>
    <t xml:space="preserve">Rocoto &amp; Betarraga Pickles</t>
  </si>
  <si>
    <t xml:space="preserve">Nordic quick pickles</t>
  </si>
  <si>
    <t xml:space="preserve">Beetroot and rocoto in a sweet-sour brine. Keeps for weeks, cuts every rich dish on the menu.</t>
  </si>
  <si>
    <t xml:space="preserve">Betarraga, rocoto, vinagre, azucar</t>
  </si>
  <si>
    <t xml:space="preserve">Beetroot-Cured Trout</t>
  </si>
  <si>
    <t xml:space="preserve">Trout cured in beetroot, salt and dill - stains it magenta, needs no cooking, plates cold.</t>
  </si>
  <si>
    <t xml:space="preserve">Trucha, betarraga, eneldo</t>
  </si>
  <si>
    <t xml:space="preserve">Kottbullar, Aguaymanto Cream</t>
  </si>
  <si>
    <t xml:space="preserve">Swedish meatballs</t>
  </si>
  <si>
    <t xml:space="preserve">Aguaymanto replaces lingonberry in the cream sauce - same acidity, local supply.</t>
  </si>
  <si>
    <t xml:space="preserve">Carne molida, aguaymanto, crema</t>
  </si>
  <si>
    <t xml:space="preserve">Rye &amp; Kiwicha Crispbread</t>
  </si>
  <si>
    <t xml:space="preserve">Knackebrod</t>
  </si>
  <si>
    <t xml:space="preserve">Seeded rye crispbread with kiwicha. Second platform product alongside the oatcake.</t>
  </si>
  <si>
    <t xml:space="preserve">Centeno, kiwicha, sal</t>
  </si>
  <si>
    <t xml:space="preserve">Dill &amp; Papa Nativa Salad</t>
  </si>
  <si>
    <t xml:space="preserve">Nordic potato salad</t>
  </si>
  <si>
    <t xml:space="preserve">Cold native potatoes, dill, mustard, soured cream. Travels perfectly.</t>
  </si>
  <si>
    <t xml:space="preserve">Papa nativa, eneldo, mostaza, crema</t>
  </si>
  <si>
    <t xml:space="preserve">Aguaymanto Preserve</t>
  </si>
  <si>
    <t xml:space="preserve">Lingonberry preserve</t>
  </si>
  <si>
    <t xml:space="preserve">The lingonberry substitute, made once and used across meatballs, cured fish and cheese boards.</t>
  </si>
  <si>
    <t xml:space="preserve">Aguaymanto, azucar, limon</t>
  </si>
  <si>
    <t xml:space="preserve">Cured Duck, Muna &amp; Pepper</t>
  </si>
  <si>
    <t xml:space="preserve">Juniper-cured duck</t>
  </si>
  <si>
    <t xml:space="preserve">Muna stands in for juniper in the cure. Sliced thin, served cold on crispbread.</t>
  </si>
  <si>
    <t xml:space="preserve">Pato, muna, pimienta, sal</t>
  </si>
  <si>
    <t xml:space="preserve">Txistorra &amp; Papa Nativa Pintxo</t>
  </si>
  <si>
    <t xml:space="preserve">Txistorra pintxo</t>
  </si>
  <si>
    <t xml:space="preserve">Fast-cured chorizo-style sausage on a native potato coin. Skewered, room temperature.</t>
  </si>
  <si>
    <t xml:space="preserve">Chorizo artesanal, papa nativa</t>
  </si>
  <si>
    <t xml:space="preserve">Croquetas de Corvina Salada</t>
  </si>
  <si>
    <t xml:space="preserve">Bacalao croquetas</t>
  </si>
  <si>
    <t xml:space="preserve">Salt cod is imported and dear; salt-cured local corvina does the same job for a third of the price.</t>
  </si>
  <si>
    <t xml:space="preserve">Corvina, leche, harina</t>
  </si>
  <si>
    <t xml:space="preserve">Piperrada con Aji Amarillo</t>
  </si>
  <si>
    <t xml:space="preserve">Piperrada</t>
  </si>
  <si>
    <t xml:space="preserve">Slow-cooked peppers and onion with aji amarillo folded through. Vegetarian, holds for hours.</t>
  </si>
  <si>
    <t xml:space="preserve">Pimiento, cebolla, aji amarillo, tomate</t>
  </si>
  <si>
    <t xml:space="preserve">Marmitako de Bonito</t>
  </si>
  <si>
    <t xml:space="preserve">Marmitako</t>
  </si>
  <si>
    <t xml:space="preserve">Basque tuna and potato stew built on bonito and native potatoes - already halfway Peruvian.</t>
  </si>
  <si>
    <t xml:space="preserve">Bonito, papa nativa, pimiento</t>
  </si>
  <si>
    <t xml:space="preserve">Txipirones, Aji Limo</t>
  </si>
  <si>
    <t xml:space="preserve">Txipirones a la plancha</t>
  </si>
  <si>
    <t xml:space="preserve">Baby squid seared hard, aji limo and parsley. Ninety seconds on the plancha or it is rubber.</t>
  </si>
  <si>
    <t xml:space="preserve">Calamar, aji limo, perejil</t>
  </si>
  <si>
    <t xml:space="preserve">Smoked Paria &amp; Aguaymanto Paste</t>
  </si>
  <si>
    <t xml:space="preserve">Idiazabal with membrillo</t>
  </si>
  <si>
    <t xml:space="preserve">Smoked queso paria for Idiazabal, aguaymanto paste for membrillo. Cheese course, no import cost.</t>
  </si>
  <si>
    <t xml:space="preserve">Queso paria ahumado, aguaymanto</t>
  </si>
  <si>
    <t xml:space="preserve">Tarta de Queso, Lucuma</t>
  </si>
  <si>
    <t xml:space="preserve">Basque burnt cheesecake</t>
  </si>
  <si>
    <t xml:space="preserve">La Vina-style burnt cheesecake with lucuma. Bakes ahead, travels whole, cuts to any headcount - the best-value dessert on this sheet.</t>
  </si>
  <si>
    <t xml:space="preserve">Queso crema, lucuma, huevo</t>
  </si>
  <si>
    <t xml:space="preserve">Portfolio average</t>
  </si>
  <si>
    <t xml:space="preserve">Costs are unverified estimates - replace after a market run.</t>
  </si>
  <si>
    <t xml:space="preserve">MIX CHECK - enforces the Scottish-led ratio and the service-format balance</t>
  </si>
  <si>
    <t xml:space="preserve">Count</t>
  </si>
  <si>
    <t xml:space="preserve">Share</t>
  </si>
  <si>
    <t xml:space="preserve">Cap agreed</t>
  </si>
  <si>
    <t xml:space="preserve">Status</t>
  </si>
  <si>
    <t xml:space="preserve">TOTAL</t>
  </si>
  <si>
    <t xml:space="preserve">Sellable without liquor licence</t>
  </si>
  <si>
    <t xml:space="preserve">Vegetarian</t>
  </si>
  <si>
    <t xml:space="preserve">Costs still unverified</t>
  </si>
  <si>
    <t xml:space="preserve">Drive this to zero. Until then nothing here is quotable.</t>
  </si>
  <si>
    <t xml:space="preserve">Source</t>
  </si>
  <si>
    <t xml:space="preserve">What to buy there</t>
  </si>
  <si>
    <t xml:space="preserve">Why</t>
  </si>
  <si>
    <t xml:space="preserve">Verify</t>
  </si>
  <si>
    <t xml:space="preserve">Mercado N.1 de Surquillo</t>
  </si>
  <si>
    <t xml:space="preserve">Native potatoes, ajies (amarillo, panca, limo, rocoto), huacatay, muna, lucuma, chirimoya, aguaymanto, choclo, queso fresco and paria</t>
  </si>
  <si>
    <t xml:space="preserve">Where Lima's serious kitchens buy. Best price on everything native.</t>
  </si>
  <si>
    <t xml:space="preserve">Walk it once with a notebook before costing anything</t>
  </si>
  <si>
    <t xml:space="preserve">Terminal Pesquero VMT / Minka (Callao)</t>
  </si>
  <si>
    <t xml:space="preserve">Trout, paiche, corvina, chita, langostinos, oysters</t>
  </si>
  <si>
    <t xml:space="preserve">Wholesale pricing; early morning only</t>
  </si>
  <si>
    <t xml:space="preserve">Check the veda calendar - closed seasons are law, not preference</t>
  </si>
  <si>
    <t xml:space="preserve">Mercado de Magdalena / artisanal butcher</t>
  </si>
  <si>
    <t xml:space="preserve">Morcilla, lamb, offal, beef shin, pork belly</t>
  </si>
  <si>
    <t xml:space="preserve">Your black pudding and haggis substitutes come from here</t>
  </si>
  <si>
    <t xml:space="preserve">Ask them to make morcilla to your oat-and-mace spec</t>
  </si>
  <si>
    <t xml:space="preserve">Flour, sugar, oats, quinoa, eggs, oil, bulk dry goods</t>
  </si>
  <si>
    <t xml:space="preserve">Bulk pricing on everything that is not native</t>
  </si>
  <si>
    <t xml:space="preserve">Compare unit price against Vivanda before defaulting here</t>
  </si>
  <si>
    <t xml:space="preserve">Beef tenderloin, premium cuts, duck</t>
  </si>
  <si>
    <t xml:space="preserve">Only worth it for the plated tier</t>
  </si>
  <si>
    <t xml:space="preserve">Tenderloin price drives the whole Tier 3 margin - track it weekly</t>
  </si>
  <si>
    <t xml:space="preserve">Vivanda / Wong premium</t>
  </si>
  <si>
    <t xml:space="preserve">European butter, cream, mature cheddar</t>
  </si>
  <si>
    <t xml:space="preserve">Butter quality decides your shortbread. Do not economise here.</t>
  </si>
  <si>
    <t xml:space="preserve">Butter is your single biggest bakery cost - price it monthly</t>
  </si>
  <si>
    <t xml:space="preserve">Specialist importer (Gourmet Peru, Euro Food and similar)</t>
  </si>
  <si>
    <t xml:space="preserve">Filo pastry, imported cheese, olives, anchovies, Irn Bru</t>
  </si>
  <si>
    <t xml:space="preserve">They already hold the DIGESA registrations - do not import yourself</t>
  </si>
  <si>
    <t xml:space="preserve">Get a wholesale account; retail pricing kills these margins</t>
  </si>
  <si>
    <t xml:space="preserve">Local cacao distributor (Cacaosuyo, Shattell, Amazona and similar)</t>
  </si>
  <si>
    <t xml:space="preserve">70% dark chocolate, cacao nibs</t>
  </si>
  <si>
    <t xml:space="preserve">Peruvian cacao is a selling point, not just an ingredient</t>
  </si>
  <si>
    <t xml:space="preserve">Bulk couverture pricing differs hugely from retail bars</t>
  </si>
  <si>
    <t xml:space="preserve">Local bakery partner</t>
  </si>
  <si>
    <t xml:space="preserve">Pan frances, brioche, sourdough</t>
  </si>
  <si>
    <t xml:space="preserve">Cheaper than baking bread yourself until volume justifies it</t>
  </si>
  <si>
    <t xml:space="preserve">Negotiate a standing daily order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</si>
</sst>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1F3B4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4" t="s">
        <v>1</v>
      </c>
      <c r="B3" s="2" t="s">
        <v>2</v>
      </c>
    </row>
    <row r="4" customFormat="false" ht="15" hidden="false" customHeight="false" outlineLevel="0" collapsed="false">
      <c r="A4" s="3"/>
      <c r="B4" s="2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4"/>
      <c r="B6" s="2" t="s">
        <v>5</v>
      </c>
    </row>
    <row r="7" customFormat="false" ht="15" hidden="false" customHeight="false" outlineLevel="0" collapsed="false">
      <c r="A7" s="4"/>
      <c r="B7" s="2" t="s">
        <v>6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4" t="s">
        <v>7</v>
      </c>
      <c r="B9" s="2" t="s">
        <v>8</v>
      </c>
    </row>
    <row r="10" customFormat="false" ht="15" hidden="false" customHeight="false" outlineLevel="0" collapsed="false">
      <c r="A10" s="4"/>
      <c r="B10" s="2" t="s">
        <v>9</v>
      </c>
    </row>
    <row r="11" customFormat="false" ht="15" hidden="false" customHeight="false" outlineLevel="0" collapsed="false">
      <c r="A11" s="4"/>
      <c r="B11" s="2" t="s">
        <v>10</v>
      </c>
    </row>
    <row r="12" customFormat="false" ht="15" hidden="false" customHeight="false" outlineLevel="0" collapsed="false">
      <c r="A12" s="4"/>
      <c r="B12" s="2" t="s">
        <v>11</v>
      </c>
    </row>
    <row r="13" customFormat="false" ht="15" hidden="false" customHeight="false" outlineLevel="0" collapsed="false">
      <c r="A13" s="3"/>
      <c r="B13" s="2"/>
    </row>
    <row r="14" customFormat="false" ht="15" hidden="false" customHeight="false" outlineLevel="0" collapsed="false">
      <c r="A14" s="4" t="s">
        <v>12</v>
      </c>
      <c r="B14" s="2" t="s">
        <v>13</v>
      </c>
    </row>
    <row r="15" customFormat="false" ht="15" hidden="false" customHeight="false" outlineLevel="0" collapsed="false">
      <c r="A15" s="3"/>
      <c r="B15" s="2"/>
    </row>
    <row r="16" customFormat="false" ht="15" hidden="false" customHeight="false" outlineLevel="0" collapsed="false">
      <c r="A16" s="4" t="s">
        <v>14</v>
      </c>
      <c r="B16" s="2" t="s">
        <v>15</v>
      </c>
    </row>
    <row r="17" customFormat="false" ht="15" hidden="false" customHeight="false" outlineLevel="0" collapsed="false">
      <c r="A17" s="4"/>
      <c r="B17" s="2" t="s">
        <v>16</v>
      </c>
    </row>
    <row r="18" customFormat="false" ht="15" hidden="false" customHeight="false" outlineLevel="0" collapsed="false">
      <c r="A18" s="3"/>
      <c r="B18" s="2"/>
    </row>
    <row r="19" customFormat="false" ht="15" hidden="false" customHeight="false" outlineLevel="0" collapsed="false">
      <c r="A19" s="4" t="s">
        <v>17</v>
      </c>
      <c r="B19" s="2" t="s">
        <v>18</v>
      </c>
    </row>
    <row r="20" customFormat="false" ht="15" hidden="false" customHeight="false" outlineLevel="0" collapsed="false">
      <c r="A20" s="4"/>
      <c r="B20" s="2" t="s">
        <v>19</v>
      </c>
    </row>
    <row r="21" customFormat="false" ht="15" hidden="false" customHeight="false" outlineLevel="0" collapsed="false">
      <c r="A21" s="3"/>
      <c r="B21" s="2"/>
    </row>
    <row r="22" customFormat="false" ht="15" hidden="false" customHeight="false" outlineLevel="0" collapsed="false">
      <c r="A22" s="4" t="s">
        <v>20</v>
      </c>
      <c r="B22" s="2" t="s">
        <v>21</v>
      </c>
    </row>
    <row r="23" customFormat="false" ht="15" hidden="false" customHeight="false" outlineLevel="0" collapsed="false">
      <c r="A23" s="4"/>
      <c r="B23" s="2" t="s">
        <v>22</v>
      </c>
    </row>
    <row r="24" customFormat="false" ht="15" hidden="false" customHeight="false" outlineLevel="0" collapsed="false">
      <c r="A24" s="4"/>
      <c r="B24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6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32"/>
    <col collapsed="false" customWidth="true" hidden="false" outlineLevel="0" max="11" min="11" style="0" width="34"/>
    <col collapsed="false" customWidth="true" hidden="false" outlineLevel="0" max="12" min="12" style="0" width="14"/>
    <col collapsed="false" customWidth="true" hidden="false" outlineLevel="0" max="13" min="13" style="0" width="15"/>
    <col collapsed="false" customWidth="true" hidden="false" outlineLevel="0" max="14" min="14" style="0" width="12"/>
    <col collapsed="false" customWidth="true" hidden="false" outlineLevel="0" max="15" min="15" style="0" width="15"/>
    <col collapsed="false" customWidth="true" hidden="false" outlineLevel="0" max="16" min="16" style="0" width="24"/>
  </cols>
  <sheetData>
    <row r="1" customFormat="false" ht="23.85" hidden="false" customHeight="fals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14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34</v>
      </c>
      <c r="M1" s="7" t="s">
        <v>35</v>
      </c>
      <c r="N1" s="7" t="s">
        <v>36</v>
      </c>
      <c r="O1" s="7" t="s">
        <v>37</v>
      </c>
      <c r="P1" s="7" t="s">
        <v>38</v>
      </c>
    </row>
    <row r="2" customFormat="false" ht="23.85" hidden="false" customHeight="false" outlineLevel="0" collapsed="false">
      <c r="A2" s="8" t="n">
        <v>1</v>
      </c>
      <c r="B2" s="8" t="s">
        <v>39</v>
      </c>
      <c r="C2" s="8" t="s">
        <v>40</v>
      </c>
      <c r="D2" s="8" t="s">
        <v>41</v>
      </c>
      <c r="E2" s="8" t="s">
        <v>42</v>
      </c>
      <c r="F2" s="8" t="s">
        <v>43</v>
      </c>
      <c r="G2" s="8" t="s">
        <v>44</v>
      </c>
      <c r="H2" s="8" t="s">
        <v>45</v>
      </c>
      <c r="I2" s="8" t="s">
        <v>45</v>
      </c>
      <c r="J2" s="8" t="s">
        <v>46</v>
      </c>
      <c r="K2" s="8" t="s">
        <v>47</v>
      </c>
      <c r="L2" s="9" t="n">
        <v>2.2</v>
      </c>
      <c r="M2" s="10" t="n">
        <v>8</v>
      </c>
      <c r="N2" s="11" t="n">
        <f aca="false">IFERROR(L2/M2,"")</f>
        <v>0.275</v>
      </c>
      <c r="O2" s="12" t="s">
        <v>48</v>
      </c>
      <c r="P2" s="12" t="str">
        <f aca="false">IF(N2="","",IF(N2&gt;0.32,"Reprice or resource",IF(N2&lt;0.2,"Check cost is realistic","OK")))</f>
        <v>OK</v>
      </c>
    </row>
    <row r="3" customFormat="false" ht="23.85" hidden="false" customHeight="false" outlineLevel="0" collapsed="false">
      <c r="A3" s="8" t="n">
        <v>2</v>
      </c>
      <c r="B3" s="8" t="s">
        <v>49</v>
      </c>
      <c r="C3" s="8" t="s">
        <v>50</v>
      </c>
      <c r="D3" s="8" t="s">
        <v>41</v>
      </c>
      <c r="E3" s="8" t="s">
        <v>42</v>
      </c>
      <c r="F3" s="8" t="s">
        <v>51</v>
      </c>
      <c r="G3" s="8" t="s">
        <v>44</v>
      </c>
      <c r="H3" s="8" t="s">
        <v>45</v>
      </c>
      <c r="I3" s="8" t="s">
        <v>45</v>
      </c>
      <c r="J3" s="8" t="s">
        <v>52</v>
      </c>
      <c r="K3" s="8" t="s">
        <v>53</v>
      </c>
      <c r="L3" s="9" t="n">
        <v>2.5</v>
      </c>
      <c r="M3" s="10" t="n">
        <v>9</v>
      </c>
      <c r="N3" s="11" t="n">
        <f aca="false">IFERROR(L3/M3,"")</f>
        <v>0.277777777777778</v>
      </c>
      <c r="O3" s="12" t="s">
        <v>48</v>
      </c>
      <c r="P3" s="12" t="str">
        <f aca="false">IF(N3="","",IF(N3&gt;0.32,"Reprice or resource",IF(N3&lt;0.2,"Check cost is realistic","OK")))</f>
        <v>OK</v>
      </c>
    </row>
    <row r="4" customFormat="false" ht="23.85" hidden="false" customHeight="false" outlineLevel="0" collapsed="false">
      <c r="A4" s="8" t="n">
        <v>3</v>
      </c>
      <c r="B4" s="8" t="s">
        <v>54</v>
      </c>
      <c r="C4" s="8" t="s">
        <v>55</v>
      </c>
      <c r="D4" s="8" t="s">
        <v>41</v>
      </c>
      <c r="E4" s="8" t="s">
        <v>42</v>
      </c>
      <c r="F4" s="8" t="s">
        <v>56</v>
      </c>
      <c r="G4" s="8" t="s">
        <v>44</v>
      </c>
      <c r="H4" s="8" t="s">
        <v>45</v>
      </c>
      <c r="I4" s="8" t="s">
        <v>45</v>
      </c>
      <c r="J4" s="8" t="s">
        <v>57</v>
      </c>
      <c r="K4" s="8" t="s">
        <v>58</v>
      </c>
      <c r="L4" s="9" t="n">
        <v>3</v>
      </c>
      <c r="M4" s="10" t="n">
        <v>10</v>
      </c>
      <c r="N4" s="11" t="n">
        <f aca="false">IFERROR(L4/M4,"")</f>
        <v>0.3</v>
      </c>
      <c r="O4" s="12" t="s">
        <v>48</v>
      </c>
      <c r="P4" s="12" t="str">
        <f aca="false">IF(N4="","",IF(N4&gt;0.32,"Reprice or resource",IF(N4&lt;0.2,"Check cost is realistic","OK")))</f>
        <v>OK</v>
      </c>
    </row>
    <row r="5" customFormat="false" ht="15" hidden="false" customHeight="false" outlineLevel="0" collapsed="false">
      <c r="A5" s="8" t="n">
        <v>4</v>
      </c>
      <c r="B5" s="8" t="s">
        <v>59</v>
      </c>
      <c r="C5" s="8" t="s">
        <v>60</v>
      </c>
      <c r="D5" s="8" t="s">
        <v>41</v>
      </c>
      <c r="E5" s="8" t="s">
        <v>42</v>
      </c>
      <c r="F5" s="8" t="s">
        <v>61</v>
      </c>
      <c r="G5" s="8" t="s">
        <v>44</v>
      </c>
      <c r="H5" s="8" t="s">
        <v>45</v>
      </c>
      <c r="I5" s="8" t="s">
        <v>45</v>
      </c>
      <c r="J5" s="8" t="s">
        <v>62</v>
      </c>
      <c r="K5" s="8" t="s">
        <v>63</v>
      </c>
      <c r="L5" s="9" t="n">
        <v>3.2</v>
      </c>
      <c r="M5" s="10" t="n">
        <v>11</v>
      </c>
      <c r="N5" s="11" t="n">
        <f aca="false">IFERROR(L5/M5,"")</f>
        <v>0.290909090909091</v>
      </c>
      <c r="O5" s="12" t="s">
        <v>48</v>
      </c>
      <c r="P5" s="12" t="str">
        <f aca="false">IF(N5="","",IF(N5&gt;0.32,"Reprice or resource",IF(N5&lt;0.2,"Check cost is realistic","OK")))</f>
        <v>OK</v>
      </c>
    </row>
    <row r="6" customFormat="false" ht="23.85" hidden="false" customHeight="false" outlineLevel="0" collapsed="false">
      <c r="A6" s="8" t="n">
        <v>5</v>
      </c>
      <c r="B6" s="8" t="s">
        <v>64</v>
      </c>
      <c r="C6" s="8" t="s">
        <v>65</v>
      </c>
      <c r="D6" s="8" t="s">
        <v>41</v>
      </c>
      <c r="E6" s="8" t="s">
        <v>42</v>
      </c>
      <c r="F6" s="8" t="s">
        <v>66</v>
      </c>
      <c r="G6" s="8" t="s">
        <v>44</v>
      </c>
      <c r="H6" s="8" t="s">
        <v>45</v>
      </c>
      <c r="I6" s="8" t="s">
        <v>45</v>
      </c>
      <c r="J6" s="8" t="s">
        <v>67</v>
      </c>
      <c r="K6" s="8" t="s">
        <v>68</v>
      </c>
      <c r="L6" s="9" t="n">
        <v>3</v>
      </c>
      <c r="M6" s="10" t="n">
        <v>11</v>
      </c>
      <c r="N6" s="11" t="n">
        <f aca="false">IFERROR(L6/M6,"")</f>
        <v>0.272727272727273</v>
      </c>
      <c r="O6" s="12" t="s">
        <v>48</v>
      </c>
      <c r="P6" s="12" t="str">
        <f aca="false">IF(N6="","",IF(N6&gt;0.32,"Reprice or resource",IF(N6&lt;0.2,"Check cost is realistic","OK")))</f>
        <v>OK</v>
      </c>
    </row>
    <row r="7" customFormat="false" ht="15" hidden="false" customHeight="false" outlineLevel="0" collapsed="false">
      <c r="A7" s="8" t="n">
        <v>6</v>
      </c>
      <c r="B7" s="8" t="s">
        <v>69</v>
      </c>
      <c r="C7" s="8" t="s">
        <v>70</v>
      </c>
      <c r="D7" s="8" t="s">
        <v>41</v>
      </c>
      <c r="E7" s="8" t="s">
        <v>42</v>
      </c>
      <c r="F7" s="8" t="s">
        <v>71</v>
      </c>
      <c r="G7" s="8" t="s">
        <v>44</v>
      </c>
      <c r="H7" s="8" t="s">
        <v>45</v>
      </c>
      <c r="I7" s="8" t="s">
        <v>45</v>
      </c>
      <c r="J7" s="8" t="s">
        <v>72</v>
      </c>
      <c r="K7" s="8" t="s">
        <v>73</v>
      </c>
      <c r="L7" s="9" t="n">
        <v>2.6</v>
      </c>
      <c r="M7" s="10" t="n">
        <v>9</v>
      </c>
      <c r="N7" s="11" t="n">
        <f aca="false">IFERROR(L7/M7,"")</f>
        <v>0.288888888888889</v>
      </c>
      <c r="O7" s="12" t="s">
        <v>48</v>
      </c>
      <c r="P7" s="12" t="str">
        <f aca="false">IF(N7="","",IF(N7&gt;0.32,"Reprice or resource",IF(N7&lt;0.2,"Check cost is realistic","OK")))</f>
        <v>OK</v>
      </c>
    </row>
    <row r="8" customFormat="false" ht="23.85" hidden="false" customHeight="false" outlineLevel="0" collapsed="false">
      <c r="A8" s="8" t="n">
        <v>7</v>
      </c>
      <c r="B8" s="8" t="s">
        <v>74</v>
      </c>
      <c r="C8" s="8" t="s">
        <v>75</v>
      </c>
      <c r="D8" s="8" t="s">
        <v>41</v>
      </c>
      <c r="E8" s="8" t="s">
        <v>42</v>
      </c>
      <c r="F8" s="8" t="s">
        <v>76</v>
      </c>
      <c r="G8" s="8" t="s">
        <v>44</v>
      </c>
      <c r="H8" s="8" t="s">
        <v>45</v>
      </c>
      <c r="I8" s="8" t="s">
        <v>45</v>
      </c>
      <c r="J8" s="8" t="s">
        <v>77</v>
      </c>
      <c r="K8" s="8" t="s">
        <v>78</v>
      </c>
      <c r="L8" s="9" t="n">
        <v>3.4</v>
      </c>
      <c r="M8" s="10" t="n">
        <v>12</v>
      </c>
      <c r="N8" s="11" t="n">
        <f aca="false">IFERROR(L8/M8,"")</f>
        <v>0.283333333333333</v>
      </c>
      <c r="O8" s="12" t="s">
        <v>48</v>
      </c>
      <c r="P8" s="12" t="str">
        <f aca="false">IF(N8="","",IF(N8&gt;0.32,"Reprice or resource",IF(N8&lt;0.2,"Check cost is realistic","OK")))</f>
        <v>OK</v>
      </c>
    </row>
    <row r="9" customFormat="false" ht="23.85" hidden="false" customHeight="false" outlineLevel="0" collapsed="false">
      <c r="A9" s="8" t="n">
        <v>8</v>
      </c>
      <c r="B9" s="8" t="s">
        <v>79</v>
      </c>
      <c r="C9" s="8" t="s">
        <v>80</v>
      </c>
      <c r="D9" s="8" t="s">
        <v>41</v>
      </c>
      <c r="E9" s="8" t="s">
        <v>42</v>
      </c>
      <c r="F9" s="8" t="s">
        <v>81</v>
      </c>
      <c r="G9" s="8" t="s">
        <v>44</v>
      </c>
      <c r="H9" s="8" t="s">
        <v>45</v>
      </c>
      <c r="I9" s="8" t="s">
        <v>45</v>
      </c>
      <c r="J9" s="8" t="s">
        <v>82</v>
      </c>
      <c r="K9" s="8" t="s">
        <v>83</v>
      </c>
      <c r="L9" s="9" t="n">
        <v>3</v>
      </c>
      <c r="M9" s="10" t="n">
        <v>10</v>
      </c>
      <c r="N9" s="11" t="n">
        <f aca="false">IFERROR(L9/M9,"")</f>
        <v>0.3</v>
      </c>
      <c r="O9" s="12" t="s">
        <v>48</v>
      </c>
      <c r="P9" s="12" t="str">
        <f aca="false">IF(N9="","",IF(N9&gt;0.32,"Reprice or resource",IF(N9&lt;0.2,"Check cost is realistic","OK")))</f>
        <v>OK</v>
      </c>
    </row>
    <row r="10" customFormat="false" ht="23.85" hidden="false" customHeight="false" outlineLevel="0" collapsed="false">
      <c r="A10" s="8" t="n">
        <v>9</v>
      </c>
      <c r="B10" s="8" t="s">
        <v>84</v>
      </c>
      <c r="C10" s="8" t="s">
        <v>85</v>
      </c>
      <c r="D10" s="8" t="s">
        <v>41</v>
      </c>
      <c r="E10" s="8" t="s">
        <v>42</v>
      </c>
      <c r="F10" s="8" t="s">
        <v>86</v>
      </c>
      <c r="G10" s="8" t="s">
        <v>87</v>
      </c>
      <c r="H10" s="8" t="s">
        <v>45</v>
      </c>
      <c r="I10" s="8" t="s">
        <v>45</v>
      </c>
      <c r="J10" s="8" t="s">
        <v>88</v>
      </c>
      <c r="K10" s="8" t="s">
        <v>89</v>
      </c>
      <c r="L10" s="9" t="n">
        <v>2.8</v>
      </c>
      <c r="M10" s="10" t="n">
        <v>10</v>
      </c>
      <c r="N10" s="11" t="n">
        <f aca="false">IFERROR(L10/M10,"")</f>
        <v>0.28</v>
      </c>
      <c r="O10" s="12" t="s">
        <v>48</v>
      </c>
      <c r="P10" s="12" t="str">
        <f aca="false">IF(N10="","",IF(N10&gt;0.32,"Reprice or resource",IF(N10&lt;0.2,"Check cost is realistic","OK")))</f>
        <v>OK</v>
      </c>
    </row>
    <row r="11" customFormat="false" ht="23.85" hidden="false" customHeight="false" outlineLevel="0" collapsed="false">
      <c r="A11" s="8" t="n">
        <v>10</v>
      </c>
      <c r="B11" s="8" t="s">
        <v>90</v>
      </c>
      <c r="C11" s="8" t="s">
        <v>91</v>
      </c>
      <c r="D11" s="8" t="s">
        <v>41</v>
      </c>
      <c r="E11" s="8" t="s">
        <v>42</v>
      </c>
      <c r="F11" s="8" t="s">
        <v>92</v>
      </c>
      <c r="G11" s="8" t="s">
        <v>44</v>
      </c>
      <c r="H11" s="8" t="s">
        <v>45</v>
      </c>
      <c r="I11" s="8" t="s">
        <v>45</v>
      </c>
      <c r="J11" s="8" t="s">
        <v>93</v>
      </c>
      <c r="K11" s="8" t="s">
        <v>94</v>
      </c>
      <c r="L11" s="9" t="n">
        <v>2.4</v>
      </c>
      <c r="M11" s="10" t="n">
        <v>9</v>
      </c>
      <c r="N11" s="11" t="n">
        <f aca="false">IFERROR(L11/M11,"")</f>
        <v>0.266666666666667</v>
      </c>
      <c r="O11" s="12" t="s">
        <v>48</v>
      </c>
      <c r="P11" s="12" t="str">
        <f aca="false">IF(N11="","",IF(N11&gt;0.32,"Reprice or resource",IF(N11&lt;0.2,"Check cost is realistic","OK")))</f>
        <v>OK</v>
      </c>
    </row>
    <row r="12" customFormat="false" ht="15" hidden="false" customHeight="false" outlineLevel="0" collapsed="false">
      <c r="A12" s="8" t="n">
        <v>11</v>
      </c>
      <c r="B12" s="8" t="s">
        <v>95</v>
      </c>
      <c r="C12" s="8" t="s">
        <v>96</v>
      </c>
      <c r="D12" s="8" t="s">
        <v>97</v>
      </c>
      <c r="E12" s="8" t="s">
        <v>42</v>
      </c>
      <c r="F12" s="8" t="s">
        <v>98</v>
      </c>
      <c r="G12" s="8" t="s">
        <v>44</v>
      </c>
      <c r="H12" s="8" t="s">
        <v>99</v>
      </c>
      <c r="I12" s="8" t="s">
        <v>45</v>
      </c>
      <c r="J12" s="8" t="s">
        <v>100</v>
      </c>
      <c r="K12" s="8" t="s">
        <v>58</v>
      </c>
      <c r="L12" s="9" t="n">
        <v>4</v>
      </c>
      <c r="M12" s="10" t="n">
        <v>14</v>
      </c>
      <c r="N12" s="11" t="n">
        <f aca="false">IFERROR(L12/M12,"")</f>
        <v>0.285714285714286</v>
      </c>
      <c r="O12" s="12" t="s">
        <v>48</v>
      </c>
      <c r="P12" s="12" t="str">
        <f aca="false">IF(N12="","",IF(N12&gt;0.32,"Reprice or resource",IF(N12&lt;0.2,"Check cost is realistic","OK")))</f>
        <v>OK</v>
      </c>
    </row>
    <row r="13" customFormat="false" ht="23.85" hidden="false" customHeight="false" outlineLevel="0" collapsed="false">
      <c r="A13" s="8" t="n">
        <v>12</v>
      </c>
      <c r="B13" s="8" t="s">
        <v>101</v>
      </c>
      <c r="C13" s="8" t="s">
        <v>102</v>
      </c>
      <c r="D13" s="8" t="s">
        <v>41</v>
      </c>
      <c r="E13" s="8" t="s">
        <v>42</v>
      </c>
      <c r="F13" s="8" t="s">
        <v>103</v>
      </c>
      <c r="G13" s="8" t="s">
        <v>44</v>
      </c>
      <c r="H13" s="8" t="s">
        <v>45</v>
      </c>
      <c r="I13" s="8" t="s">
        <v>99</v>
      </c>
      <c r="J13" s="8" t="s">
        <v>104</v>
      </c>
      <c r="K13" s="8" t="s">
        <v>94</v>
      </c>
      <c r="L13" s="9" t="n">
        <v>2.2</v>
      </c>
      <c r="M13" s="10" t="n">
        <v>8</v>
      </c>
      <c r="N13" s="11" t="n">
        <f aca="false">IFERROR(L13/M13,"")</f>
        <v>0.275</v>
      </c>
      <c r="O13" s="12" t="s">
        <v>48</v>
      </c>
      <c r="P13" s="12" t="str">
        <f aca="false">IF(N13="","",IF(N13&gt;0.32,"Reprice or resource",IF(N13&lt;0.2,"Check cost is realistic","OK")))</f>
        <v>OK</v>
      </c>
    </row>
    <row r="14" customFormat="false" ht="23.85" hidden="false" customHeight="false" outlineLevel="0" collapsed="false">
      <c r="A14" s="8" t="n">
        <v>13</v>
      </c>
      <c r="B14" s="8" t="s">
        <v>105</v>
      </c>
      <c r="C14" s="8" t="s">
        <v>106</v>
      </c>
      <c r="D14" s="8" t="s">
        <v>41</v>
      </c>
      <c r="E14" s="8" t="s">
        <v>42</v>
      </c>
      <c r="F14" s="8" t="s">
        <v>107</v>
      </c>
      <c r="G14" s="8" t="s">
        <v>44</v>
      </c>
      <c r="H14" s="8" t="s">
        <v>45</v>
      </c>
      <c r="I14" s="8" t="s">
        <v>45</v>
      </c>
      <c r="J14" s="8" t="s">
        <v>108</v>
      </c>
      <c r="K14" s="8" t="s">
        <v>78</v>
      </c>
      <c r="L14" s="9" t="n">
        <v>3.6</v>
      </c>
      <c r="M14" s="10" t="n">
        <v>12</v>
      </c>
      <c r="N14" s="11" t="n">
        <f aca="false">IFERROR(L14/M14,"")</f>
        <v>0.3</v>
      </c>
      <c r="O14" s="12" t="s">
        <v>48</v>
      </c>
      <c r="P14" s="12" t="str">
        <f aca="false">IF(N14="","",IF(N14&gt;0.32,"Reprice or resource",IF(N14&lt;0.2,"Check cost is realistic","OK")))</f>
        <v>OK</v>
      </c>
    </row>
    <row r="15" customFormat="false" ht="15" hidden="false" customHeight="false" outlineLevel="0" collapsed="false">
      <c r="A15" s="8" t="n">
        <v>14</v>
      </c>
      <c r="B15" s="8" t="s">
        <v>109</v>
      </c>
      <c r="C15" s="8" t="s">
        <v>110</v>
      </c>
      <c r="D15" s="8" t="s">
        <v>41</v>
      </c>
      <c r="E15" s="8" t="s">
        <v>42</v>
      </c>
      <c r="F15" s="8" t="s">
        <v>111</v>
      </c>
      <c r="G15" s="8" t="s">
        <v>44</v>
      </c>
      <c r="H15" s="8" t="s">
        <v>45</v>
      </c>
      <c r="I15" s="8" t="s">
        <v>45</v>
      </c>
      <c r="J15" s="8" t="s">
        <v>112</v>
      </c>
      <c r="K15" s="8" t="s">
        <v>94</v>
      </c>
      <c r="L15" s="9" t="n">
        <v>2.2</v>
      </c>
      <c r="M15" s="10" t="n">
        <v>8</v>
      </c>
      <c r="N15" s="11" t="n">
        <f aca="false">IFERROR(L15/M15,"")</f>
        <v>0.275</v>
      </c>
      <c r="O15" s="12" t="s">
        <v>48</v>
      </c>
      <c r="P15" s="12" t="str">
        <f aca="false">IF(N15="","",IF(N15&gt;0.32,"Reprice or resource",IF(N15&lt;0.2,"Check cost is realistic","OK")))</f>
        <v>OK</v>
      </c>
    </row>
    <row r="16" customFormat="false" ht="23.85" hidden="false" customHeight="false" outlineLevel="0" collapsed="false">
      <c r="A16" s="8" t="n">
        <v>15</v>
      </c>
      <c r="B16" s="8" t="s">
        <v>113</v>
      </c>
      <c r="C16" s="8" t="s">
        <v>114</v>
      </c>
      <c r="D16" s="8" t="s">
        <v>41</v>
      </c>
      <c r="E16" s="8" t="s">
        <v>42</v>
      </c>
      <c r="F16" s="8" t="s">
        <v>115</v>
      </c>
      <c r="G16" s="8" t="s">
        <v>44</v>
      </c>
      <c r="H16" s="8" t="s">
        <v>45</v>
      </c>
      <c r="I16" s="8" t="s">
        <v>45</v>
      </c>
      <c r="J16" s="8" t="s">
        <v>116</v>
      </c>
      <c r="K16" s="8" t="s">
        <v>117</v>
      </c>
      <c r="L16" s="9" t="n">
        <v>2.8</v>
      </c>
      <c r="M16" s="10" t="n">
        <v>10</v>
      </c>
      <c r="N16" s="11" t="n">
        <f aca="false">IFERROR(L16/M16,"")</f>
        <v>0.28</v>
      </c>
      <c r="O16" s="12" t="s">
        <v>48</v>
      </c>
      <c r="P16" s="12" t="str">
        <f aca="false">IF(N16="","",IF(N16&gt;0.32,"Reprice or resource",IF(N16&lt;0.2,"Check cost is realistic","OK")))</f>
        <v>OK</v>
      </c>
    </row>
    <row r="17" customFormat="false" ht="23.85" hidden="false" customHeight="false" outlineLevel="0" collapsed="false">
      <c r="A17" s="8" t="n">
        <v>16</v>
      </c>
      <c r="B17" s="8" t="s">
        <v>118</v>
      </c>
      <c r="C17" s="8" t="s">
        <v>119</v>
      </c>
      <c r="D17" s="8" t="s">
        <v>120</v>
      </c>
      <c r="E17" s="8" t="s">
        <v>42</v>
      </c>
      <c r="F17" s="8" t="s">
        <v>121</v>
      </c>
      <c r="G17" s="8" t="s">
        <v>87</v>
      </c>
      <c r="H17" s="8" t="s">
        <v>99</v>
      </c>
      <c r="I17" s="8" t="s">
        <v>45</v>
      </c>
      <c r="J17" s="8" t="s">
        <v>122</v>
      </c>
      <c r="K17" s="8" t="s">
        <v>94</v>
      </c>
      <c r="L17" s="9" t="n">
        <v>3</v>
      </c>
      <c r="M17" s="10" t="n">
        <v>12</v>
      </c>
      <c r="N17" s="11" t="n">
        <f aca="false">IFERROR(L17/M17,"")</f>
        <v>0.25</v>
      </c>
      <c r="O17" s="12" t="s">
        <v>48</v>
      </c>
      <c r="P17" s="12" t="str">
        <f aca="false">IF(N17="","",IF(N17&gt;0.32,"Reprice or resource",IF(N17&lt;0.2,"Check cost is realistic","OK")))</f>
        <v>OK</v>
      </c>
    </row>
    <row r="18" customFormat="false" ht="23.85" hidden="false" customHeight="false" outlineLevel="0" collapsed="false">
      <c r="A18" s="8" t="n">
        <v>17</v>
      </c>
      <c r="B18" s="8" t="s">
        <v>123</v>
      </c>
      <c r="C18" s="8" t="s">
        <v>124</v>
      </c>
      <c r="D18" s="8" t="s">
        <v>120</v>
      </c>
      <c r="E18" s="8" t="s">
        <v>42</v>
      </c>
      <c r="F18" s="8" t="s">
        <v>125</v>
      </c>
      <c r="G18" s="8" t="s">
        <v>44</v>
      </c>
      <c r="H18" s="8" t="s">
        <v>45</v>
      </c>
      <c r="I18" s="8" t="s">
        <v>45</v>
      </c>
      <c r="J18" s="8" t="s">
        <v>126</v>
      </c>
      <c r="K18" s="8" t="s">
        <v>127</v>
      </c>
      <c r="L18" s="9" t="n">
        <v>4</v>
      </c>
      <c r="M18" s="10" t="n">
        <v>14</v>
      </c>
      <c r="N18" s="11" t="n">
        <f aca="false">IFERROR(L18/M18,"")</f>
        <v>0.285714285714286</v>
      </c>
      <c r="O18" s="12" t="s">
        <v>48</v>
      </c>
      <c r="P18" s="12" t="str">
        <f aca="false">IF(N18="","",IF(N18&gt;0.32,"Reprice or resource",IF(N18&lt;0.2,"Check cost is realistic","OK")))</f>
        <v>OK</v>
      </c>
    </row>
    <row r="19" customFormat="false" ht="15" hidden="false" customHeight="false" outlineLevel="0" collapsed="false">
      <c r="A19" s="8" t="n">
        <v>18</v>
      </c>
      <c r="B19" s="8" t="s">
        <v>128</v>
      </c>
      <c r="C19" s="8" t="s">
        <v>129</v>
      </c>
      <c r="D19" s="8" t="s">
        <v>130</v>
      </c>
      <c r="E19" s="8" t="s">
        <v>42</v>
      </c>
      <c r="F19" s="8" t="s">
        <v>131</v>
      </c>
      <c r="G19" s="8" t="s">
        <v>44</v>
      </c>
      <c r="H19" s="8" t="s">
        <v>45</v>
      </c>
      <c r="I19" s="8" t="s">
        <v>45</v>
      </c>
      <c r="J19" s="8" t="s">
        <v>132</v>
      </c>
      <c r="K19" s="8" t="s">
        <v>78</v>
      </c>
      <c r="L19" s="9" t="n">
        <v>4.5</v>
      </c>
      <c r="M19" s="10" t="n">
        <v>15</v>
      </c>
      <c r="N19" s="11" t="n">
        <f aca="false">IFERROR(L19/M19,"")</f>
        <v>0.3</v>
      </c>
      <c r="O19" s="12" t="s">
        <v>48</v>
      </c>
      <c r="P19" s="12" t="str">
        <f aca="false">IF(N19="","",IF(N19&gt;0.32,"Reprice or resource",IF(N19&lt;0.2,"Check cost is realistic","OK")))</f>
        <v>OK</v>
      </c>
    </row>
    <row r="20" customFormat="false" ht="15" hidden="false" customHeight="false" outlineLevel="0" collapsed="false">
      <c r="A20" s="8" t="n">
        <v>19</v>
      </c>
      <c r="B20" s="8" t="s">
        <v>133</v>
      </c>
      <c r="C20" s="8" t="s">
        <v>134</v>
      </c>
      <c r="D20" s="8" t="s">
        <v>130</v>
      </c>
      <c r="E20" s="8" t="s">
        <v>42</v>
      </c>
      <c r="F20" s="8" t="s">
        <v>135</v>
      </c>
      <c r="G20" s="8" t="s">
        <v>44</v>
      </c>
      <c r="H20" s="8" t="s">
        <v>45</v>
      </c>
      <c r="I20" s="8" t="s">
        <v>45</v>
      </c>
      <c r="J20" s="8" t="s">
        <v>136</v>
      </c>
      <c r="K20" s="8" t="s">
        <v>117</v>
      </c>
      <c r="L20" s="9" t="n">
        <v>2.6</v>
      </c>
      <c r="M20" s="10" t="n">
        <v>9</v>
      </c>
      <c r="N20" s="11" t="n">
        <f aca="false">IFERROR(L20/M20,"")</f>
        <v>0.288888888888889</v>
      </c>
      <c r="O20" s="12" t="s">
        <v>48</v>
      </c>
      <c r="P20" s="12" t="str">
        <f aca="false">IF(N20="","",IF(N20&gt;0.32,"Reprice or resource",IF(N20&lt;0.2,"Check cost is realistic","OK")))</f>
        <v>OK</v>
      </c>
    </row>
    <row r="21" customFormat="false" ht="15" hidden="false" customHeight="false" outlineLevel="0" collapsed="false">
      <c r="A21" s="8" t="n">
        <v>20</v>
      </c>
      <c r="B21" s="8" t="s">
        <v>137</v>
      </c>
      <c r="C21" s="8" t="s">
        <v>138</v>
      </c>
      <c r="D21" s="8" t="s">
        <v>139</v>
      </c>
      <c r="E21" s="8" t="s">
        <v>42</v>
      </c>
      <c r="F21" s="8" t="s">
        <v>140</v>
      </c>
      <c r="G21" s="8" t="s">
        <v>44</v>
      </c>
      <c r="H21" s="8" t="s">
        <v>45</v>
      </c>
      <c r="I21" s="8" t="s">
        <v>45</v>
      </c>
      <c r="J21" s="8" t="s">
        <v>141</v>
      </c>
      <c r="K21" s="8" t="s">
        <v>94</v>
      </c>
      <c r="L21" s="9" t="n">
        <v>2.4</v>
      </c>
      <c r="M21" s="10" t="n">
        <v>9</v>
      </c>
      <c r="N21" s="11" t="n">
        <f aca="false">IFERROR(L21/M21,"")</f>
        <v>0.266666666666667</v>
      </c>
      <c r="O21" s="12" t="s">
        <v>48</v>
      </c>
      <c r="P21" s="12" t="str">
        <f aca="false">IF(N21="","",IF(N21&gt;0.32,"Reprice or resource",IF(N21&lt;0.2,"Check cost is realistic","OK")))</f>
        <v>OK</v>
      </c>
    </row>
    <row r="22" customFormat="false" ht="15" hidden="false" customHeight="false" outlineLevel="0" collapsed="false">
      <c r="A22" s="8" t="n">
        <v>21</v>
      </c>
      <c r="B22" s="8" t="s">
        <v>142</v>
      </c>
      <c r="C22" s="8" t="s">
        <v>143</v>
      </c>
      <c r="D22" s="8" t="s">
        <v>139</v>
      </c>
      <c r="E22" s="8" t="s">
        <v>42</v>
      </c>
      <c r="F22" s="8" t="s">
        <v>144</v>
      </c>
      <c r="G22" s="8" t="s">
        <v>44</v>
      </c>
      <c r="H22" s="8" t="s">
        <v>45</v>
      </c>
      <c r="I22" s="8" t="s">
        <v>45</v>
      </c>
      <c r="J22" s="8" t="s">
        <v>145</v>
      </c>
      <c r="K22" s="8" t="s">
        <v>146</v>
      </c>
      <c r="L22" s="9" t="n">
        <v>2.8</v>
      </c>
      <c r="M22" s="10" t="n">
        <v>10</v>
      </c>
      <c r="N22" s="11" t="n">
        <f aca="false">IFERROR(L22/M22,"")</f>
        <v>0.28</v>
      </c>
      <c r="O22" s="12" t="s">
        <v>48</v>
      </c>
      <c r="P22" s="12" t="str">
        <f aca="false">IF(N22="","",IF(N22&gt;0.32,"Reprice or resource",IF(N22&lt;0.2,"Check cost is realistic","OK")))</f>
        <v>OK</v>
      </c>
    </row>
    <row r="23" customFormat="false" ht="15" hidden="false" customHeight="false" outlineLevel="0" collapsed="false">
      <c r="A23" s="8" t="n">
        <v>22</v>
      </c>
      <c r="B23" s="8" t="s">
        <v>147</v>
      </c>
      <c r="C23" s="8" t="s">
        <v>148</v>
      </c>
      <c r="D23" s="8" t="s">
        <v>149</v>
      </c>
      <c r="E23" s="8" t="s">
        <v>42</v>
      </c>
      <c r="F23" s="8" t="s">
        <v>150</v>
      </c>
      <c r="G23" s="8" t="s">
        <v>44</v>
      </c>
      <c r="H23" s="8" t="s">
        <v>45</v>
      </c>
      <c r="I23" s="8" t="s">
        <v>99</v>
      </c>
      <c r="J23" s="8" t="s">
        <v>151</v>
      </c>
      <c r="K23" s="8" t="s">
        <v>152</v>
      </c>
      <c r="L23" s="9" t="n">
        <v>2.6</v>
      </c>
      <c r="M23" s="10" t="n">
        <v>9</v>
      </c>
      <c r="N23" s="11" t="n">
        <f aca="false">IFERROR(L23/M23,"")</f>
        <v>0.288888888888889</v>
      </c>
      <c r="O23" s="12" t="s">
        <v>48</v>
      </c>
      <c r="P23" s="12" t="str">
        <f aca="false">IF(N23="","",IF(N23&gt;0.32,"Reprice or resource",IF(N23&lt;0.2,"Check cost is realistic","OK")))</f>
        <v>OK</v>
      </c>
    </row>
    <row r="24" customFormat="false" ht="15" hidden="false" customHeight="false" outlineLevel="0" collapsed="false">
      <c r="A24" s="8" t="n">
        <v>23</v>
      </c>
      <c r="B24" s="8" t="s">
        <v>153</v>
      </c>
      <c r="C24" s="8" t="s">
        <v>154</v>
      </c>
      <c r="D24" s="8" t="s">
        <v>149</v>
      </c>
      <c r="E24" s="8" t="s">
        <v>42</v>
      </c>
      <c r="F24" s="8" t="s">
        <v>155</v>
      </c>
      <c r="G24" s="8" t="s">
        <v>44</v>
      </c>
      <c r="H24" s="8" t="s">
        <v>45</v>
      </c>
      <c r="I24" s="8" t="s">
        <v>45</v>
      </c>
      <c r="J24" s="8" t="s">
        <v>156</v>
      </c>
      <c r="K24" s="8" t="s">
        <v>68</v>
      </c>
      <c r="L24" s="9" t="n">
        <v>3</v>
      </c>
      <c r="M24" s="10" t="n">
        <v>10</v>
      </c>
      <c r="N24" s="11" t="n">
        <f aca="false">IFERROR(L24/M24,"")</f>
        <v>0.3</v>
      </c>
      <c r="O24" s="12" t="s">
        <v>48</v>
      </c>
      <c r="P24" s="12" t="str">
        <f aca="false">IF(N24="","",IF(N24&gt;0.32,"Reprice or resource",IF(N24&lt;0.2,"Check cost is realistic","OK")))</f>
        <v>OK</v>
      </c>
    </row>
    <row r="25" customFormat="false" ht="15" hidden="false" customHeight="false" outlineLevel="0" collapsed="false">
      <c r="A25" s="8" t="n">
        <v>24</v>
      </c>
      <c r="B25" s="8" t="s">
        <v>157</v>
      </c>
      <c r="C25" s="8" t="s">
        <v>158</v>
      </c>
      <c r="D25" s="8" t="s">
        <v>97</v>
      </c>
      <c r="E25" s="8" t="s">
        <v>42</v>
      </c>
      <c r="F25" s="8" t="s">
        <v>159</v>
      </c>
      <c r="G25" s="8" t="s">
        <v>44</v>
      </c>
      <c r="H25" s="8" t="s">
        <v>45</v>
      </c>
      <c r="I25" s="8" t="s">
        <v>45</v>
      </c>
      <c r="J25" s="8" t="s">
        <v>160</v>
      </c>
      <c r="K25" s="8" t="s">
        <v>161</v>
      </c>
      <c r="L25" s="9" t="n">
        <v>3.6</v>
      </c>
      <c r="M25" s="10" t="n">
        <v>12</v>
      </c>
      <c r="N25" s="11" t="n">
        <f aca="false">IFERROR(L25/M25,"")</f>
        <v>0.3</v>
      </c>
      <c r="O25" s="12" t="s">
        <v>48</v>
      </c>
      <c r="P25" s="12" t="str">
        <f aca="false">IF(N25="","",IF(N25&gt;0.32,"Reprice or resource",IF(N25&lt;0.2,"Check cost is realistic","OK")))</f>
        <v>OK</v>
      </c>
    </row>
    <row r="26" customFormat="false" ht="23.85" hidden="false" customHeight="false" outlineLevel="0" collapsed="false">
      <c r="A26" s="8" t="n">
        <v>25</v>
      </c>
      <c r="B26" s="8" t="s">
        <v>162</v>
      </c>
      <c r="C26" s="8" t="s">
        <v>163</v>
      </c>
      <c r="D26" s="8" t="s">
        <v>130</v>
      </c>
      <c r="E26" s="8" t="s">
        <v>42</v>
      </c>
      <c r="F26" s="8" t="s">
        <v>164</v>
      </c>
      <c r="G26" s="8" t="s">
        <v>44</v>
      </c>
      <c r="H26" s="8" t="s">
        <v>45</v>
      </c>
      <c r="I26" s="8" t="s">
        <v>45</v>
      </c>
      <c r="J26" s="8" t="s">
        <v>165</v>
      </c>
      <c r="K26" s="8" t="s">
        <v>166</v>
      </c>
      <c r="L26" s="9" t="n">
        <v>3.2</v>
      </c>
      <c r="M26" s="10" t="n">
        <v>11</v>
      </c>
      <c r="N26" s="11" t="n">
        <f aca="false">IFERROR(L26/M26,"")</f>
        <v>0.290909090909091</v>
      </c>
      <c r="O26" s="12" t="s">
        <v>48</v>
      </c>
      <c r="P26" s="12" t="str">
        <f aca="false">IF(N26="","",IF(N26&gt;0.32,"Reprice or resource",IF(N26&lt;0.2,"Check cost is realistic","OK")))</f>
        <v>OK</v>
      </c>
    </row>
    <row r="27" customFormat="false" ht="23.85" hidden="false" customHeight="false" outlineLevel="0" collapsed="false">
      <c r="A27" s="8" t="n">
        <v>26</v>
      </c>
      <c r="B27" s="8" t="s">
        <v>167</v>
      </c>
      <c r="C27" s="8" t="s">
        <v>168</v>
      </c>
      <c r="D27" s="8" t="s">
        <v>130</v>
      </c>
      <c r="E27" s="8" t="s">
        <v>169</v>
      </c>
      <c r="F27" s="8" t="s">
        <v>170</v>
      </c>
      <c r="G27" s="8" t="s">
        <v>171</v>
      </c>
      <c r="H27" s="8" t="s">
        <v>45</v>
      </c>
      <c r="I27" s="8" t="s">
        <v>45</v>
      </c>
      <c r="J27" s="8" t="s">
        <v>172</v>
      </c>
      <c r="K27" s="8" t="s">
        <v>173</v>
      </c>
      <c r="L27" s="9" t="n">
        <v>26</v>
      </c>
      <c r="M27" s="10" t="n">
        <v>88</v>
      </c>
      <c r="N27" s="11" t="n">
        <f aca="false">IFERROR(L27/M27,"")</f>
        <v>0.295454545454545</v>
      </c>
      <c r="O27" s="12" t="s">
        <v>48</v>
      </c>
      <c r="P27" s="12" t="str">
        <f aca="false">IF(N27="","",IF(N27&gt;0.32,"Reprice or resource",IF(N27&lt;0.2,"Check cost is realistic","OK")))</f>
        <v>OK</v>
      </c>
    </row>
    <row r="28" customFormat="false" ht="23.85" hidden="false" customHeight="false" outlineLevel="0" collapsed="false">
      <c r="A28" s="8" t="n">
        <v>27</v>
      </c>
      <c r="B28" s="8" t="s">
        <v>174</v>
      </c>
      <c r="C28" s="8" t="s">
        <v>174</v>
      </c>
      <c r="D28" s="8" t="s">
        <v>41</v>
      </c>
      <c r="E28" s="8" t="s">
        <v>169</v>
      </c>
      <c r="F28" s="8" t="s">
        <v>175</v>
      </c>
      <c r="G28" s="8" t="s">
        <v>171</v>
      </c>
      <c r="H28" s="8" t="s">
        <v>99</v>
      </c>
      <c r="I28" s="8" t="s">
        <v>45</v>
      </c>
      <c r="J28" s="8" t="s">
        <v>176</v>
      </c>
      <c r="K28" s="8" t="s">
        <v>166</v>
      </c>
      <c r="L28" s="9" t="n">
        <v>13</v>
      </c>
      <c r="M28" s="10" t="n">
        <v>46</v>
      </c>
      <c r="N28" s="11" t="n">
        <f aca="false">IFERROR(L28/M28,"")</f>
        <v>0.282608695652174</v>
      </c>
      <c r="O28" s="12" t="s">
        <v>48</v>
      </c>
      <c r="P28" s="12" t="str">
        <f aca="false">IF(N28="","",IF(N28&gt;0.32,"Reprice or resource",IF(N28&lt;0.2,"Check cost is realistic","OK")))</f>
        <v>OK</v>
      </c>
    </row>
    <row r="29" customFormat="false" ht="23.85" hidden="false" customHeight="false" outlineLevel="0" collapsed="false">
      <c r="A29" s="8" t="n">
        <v>28</v>
      </c>
      <c r="B29" s="8" t="s">
        <v>177</v>
      </c>
      <c r="C29" s="8" t="s">
        <v>75</v>
      </c>
      <c r="D29" s="8" t="s">
        <v>41</v>
      </c>
      <c r="E29" s="8" t="s">
        <v>169</v>
      </c>
      <c r="F29" s="8" t="s">
        <v>178</v>
      </c>
      <c r="G29" s="8" t="s">
        <v>179</v>
      </c>
      <c r="H29" s="8" t="s">
        <v>45</v>
      </c>
      <c r="I29" s="8" t="s">
        <v>45</v>
      </c>
      <c r="J29" s="8" t="s">
        <v>180</v>
      </c>
      <c r="K29" s="8" t="s">
        <v>78</v>
      </c>
      <c r="L29" s="9" t="n">
        <v>14</v>
      </c>
      <c r="M29" s="10" t="n">
        <v>48</v>
      </c>
      <c r="N29" s="11" t="n">
        <f aca="false">IFERROR(L29/M29,"")</f>
        <v>0.291666666666667</v>
      </c>
      <c r="O29" s="12" t="s">
        <v>48</v>
      </c>
      <c r="P29" s="12" t="str">
        <f aca="false">IF(N29="","",IF(N29&gt;0.32,"Reprice or resource",IF(N29&lt;0.2,"Check cost is realistic","OK")))</f>
        <v>OK</v>
      </c>
    </row>
    <row r="30" customFormat="false" ht="23.85" hidden="false" customHeight="false" outlineLevel="0" collapsed="false">
      <c r="A30" s="8" t="n">
        <v>29</v>
      </c>
      <c r="B30" s="8" t="s">
        <v>181</v>
      </c>
      <c r="C30" s="8" t="s">
        <v>65</v>
      </c>
      <c r="D30" s="8" t="s">
        <v>41</v>
      </c>
      <c r="E30" s="8" t="s">
        <v>169</v>
      </c>
      <c r="F30" s="8" t="s">
        <v>182</v>
      </c>
      <c r="G30" s="8" t="s">
        <v>179</v>
      </c>
      <c r="H30" s="8" t="s">
        <v>45</v>
      </c>
      <c r="I30" s="8" t="s">
        <v>45</v>
      </c>
      <c r="J30" s="8" t="s">
        <v>183</v>
      </c>
      <c r="K30" s="8" t="s">
        <v>68</v>
      </c>
      <c r="L30" s="9" t="n">
        <v>7</v>
      </c>
      <c r="M30" s="10" t="n">
        <v>26</v>
      </c>
      <c r="N30" s="11" t="n">
        <f aca="false">IFERROR(L30/M30,"")</f>
        <v>0.269230769230769</v>
      </c>
      <c r="O30" s="12" t="s">
        <v>48</v>
      </c>
      <c r="P30" s="12" t="str">
        <f aca="false">IF(N30="","",IF(N30&gt;0.32,"Reprice or resource",IF(N30&lt;0.2,"Check cost is realistic","OK")))</f>
        <v>OK</v>
      </c>
    </row>
    <row r="31" customFormat="false" ht="23.85" hidden="false" customHeight="false" outlineLevel="0" collapsed="false">
      <c r="A31" s="8" t="n">
        <v>30</v>
      </c>
      <c r="B31" s="8" t="s">
        <v>184</v>
      </c>
      <c r="C31" s="8" t="s">
        <v>185</v>
      </c>
      <c r="D31" s="8" t="s">
        <v>41</v>
      </c>
      <c r="E31" s="8" t="s">
        <v>169</v>
      </c>
      <c r="F31" s="8" t="s">
        <v>186</v>
      </c>
      <c r="G31" s="8" t="s">
        <v>179</v>
      </c>
      <c r="H31" s="8" t="s">
        <v>45</v>
      </c>
      <c r="I31" s="8" t="s">
        <v>45</v>
      </c>
      <c r="J31" s="8" t="s">
        <v>187</v>
      </c>
      <c r="K31" s="8" t="s">
        <v>63</v>
      </c>
      <c r="L31" s="9" t="n">
        <v>15</v>
      </c>
      <c r="M31" s="10" t="n">
        <v>52</v>
      </c>
      <c r="N31" s="11" t="n">
        <f aca="false">IFERROR(L31/M31,"")</f>
        <v>0.288461538461538</v>
      </c>
      <c r="O31" s="12" t="s">
        <v>48</v>
      </c>
      <c r="P31" s="12" t="str">
        <f aca="false">IF(N31="","",IF(N31&gt;0.32,"Reprice or resource",IF(N31&lt;0.2,"Check cost is realistic","OK")))</f>
        <v>OK</v>
      </c>
    </row>
    <row r="32" customFormat="false" ht="15" hidden="false" customHeight="false" outlineLevel="0" collapsed="false">
      <c r="A32" s="8" t="n">
        <v>31</v>
      </c>
      <c r="B32" s="8" t="s">
        <v>188</v>
      </c>
      <c r="C32" s="8" t="s">
        <v>189</v>
      </c>
      <c r="D32" s="8" t="s">
        <v>41</v>
      </c>
      <c r="E32" s="8" t="s">
        <v>169</v>
      </c>
      <c r="F32" s="8" t="s">
        <v>190</v>
      </c>
      <c r="G32" s="8" t="s">
        <v>179</v>
      </c>
      <c r="H32" s="8" t="s">
        <v>45</v>
      </c>
      <c r="I32" s="8" t="s">
        <v>45</v>
      </c>
      <c r="J32" s="8" t="s">
        <v>191</v>
      </c>
      <c r="K32" s="8" t="s">
        <v>68</v>
      </c>
      <c r="L32" s="9" t="n">
        <v>13</v>
      </c>
      <c r="M32" s="10" t="n">
        <v>45</v>
      </c>
      <c r="N32" s="11" t="n">
        <f aca="false">IFERROR(L32/M32,"")</f>
        <v>0.288888888888889</v>
      </c>
      <c r="O32" s="12" t="s">
        <v>48</v>
      </c>
      <c r="P32" s="12" t="str">
        <f aca="false">IF(N32="","",IF(N32&gt;0.32,"Reprice or resource",IF(N32&lt;0.2,"Check cost is realistic","OK")))</f>
        <v>OK</v>
      </c>
    </row>
    <row r="33" customFormat="false" ht="23.85" hidden="false" customHeight="false" outlineLevel="0" collapsed="false">
      <c r="A33" s="8" t="n">
        <v>32</v>
      </c>
      <c r="B33" s="8" t="s">
        <v>192</v>
      </c>
      <c r="C33" s="8" t="s">
        <v>193</v>
      </c>
      <c r="D33" s="8" t="s">
        <v>41</v>
      </c>
      <c r="E33" s="8" t="s">
        <v>169</v>
      </c>
      <c r="F33" s="8" t="s">
        <v>194</v>
      </c>
      <c r="G33" s="8" t="s">
        <v>179</v>
      </c>
      <c r="H33" s="8" t="s">
        <v>45</v>
      </c>
      <c r="I33" s="8" t="s">
        <v>45</v>
      </c>
      <c r="J33" s="8" t="s">
        <v>195</v>
      </c>
      <c r="K33" s="8" t="s">
        <v>117</v>
      </c>
      <c r="L33" s="9" t="n">
        <v>8</v>
      </c>
      <c r="M33" s="10" t="n">
        <v>30</v>
      </c>
      <c r="N33" s="11" t="n">
        <f aca="false">IFERROR(L33/M33,"")</f>
        <v>0.266666666666667</v>
      </c>
      <c r="O33" s="12" t="s">
        <v>48</v>
      </c>
      <c r="P33" s="12" t="str">
        <f aca="false">IF(N33="","",IF(N33&gt;0.32,"Reprice or resource",IF(N33&lt;0.2,"Check cost is realistic","OK")))</f>
        <v>OK</v>
      </c>
    </row>
    <row r="34" customFormat="false" ht="15" hidden="false" customHeight="false" outlineLevel="0" collapsed="false">
      <c r="A34" s="8" t="n">
        <v>33</v>
      </c>
      <c r="B34" s="8" t="s">
        <v>110</v>
      </c>
      <c r="C34" s="8" t="s">
        <v>110</v>
      </c>
      <c r="D34" s="8" t="s">
        <v>41</v>
      </c>
      <c r="E34" s="8" t="s">
        <v>169</v>
      </c>
      <c r="F34" s="8" t="s">
        <v>196</v>
      </c>
      <c r="G34" s="8" t="s">
        <v>179</v>
      </c>
      <c r="H34" s="8" t="s">
        <v>45</v>
      </c>
      <c r="I34" s="8" t="s">
        <v>45</v>
      </c>
      <c r="J34" s="8" t="s">
        <v>197</v>
      </c>
      <c r="K34" s="8" t="s">
        <v>94</v>
      </c>
      <c r="L34" s="9" t="n">
        <v>6</v>
      </c>
      <c r="M34" s="10" t="n">
        <v>24</v>
      </c>
      <c r="N34" s="11" t="n">
        <f aca="false">IFERROR(L34/M34,"")</f>
        <v>0.25</v>
      </c>
      <c r="O34" s="12" t="s">
        <v>48</v>
      </c>
      <c r="P34" s="12" t="str">
        <f aca="false">IF(N34="","",IF(N34&gt;0.32,"Reprice or resource",IF(N34&lt;0.2,"Check cost is realistic","OK")))</f>
        <v>OK</v>
      </c>
    </row>
    <row r="35" customFormat="false" ht="15" hidden="false" customHeight="false" outlineLevel="0" collapsed="false">
      <c r="A35" s="8" t="n">
        <v>34</v>
      </c>
      <c r="B35" s="8" t="s">
        <v>198</v>
      </c>
      <c r="C35" s="8" t="s">
        <v>199</v>
      </c>
      <c r="D35" s="8" t="s">
        <v>41</v>
      </c>
      <c r="E35" s="8" t="s">
        <v>169</v>
      </c>
      <c r="F35" s="8" t="s">
        <v>200</v>
      </c>
      <c r="G35" s="8" t="s">
        <v>179</v>
      </c>
      <c r="H35" s="8" t="s">
        <v>45</v>
      </c>
      <c r="I35" s="8" t="s">
        <v>45</v>
      </c>
      <c r="J35" s="8" t="s">
        <v>201</v>
      </c>
      <c r="K35" s="8" t="s">
        <v>202</v>
      </c>
      <c r="L35" s="9" t="n">
        <v>7</v>
      </c>
      <c r="M35" s="10" t="n">
        <v>26</v>
      </c>
      <c r="N35" s="11" t="n">
        <f aca="false">IFERROR(L35/M35,"")</f>
        <v>0.269230769230769</v>
      </c>
      <c r="O35" s="12" t="s">
        <v>48</v>
      </c>
      <c r="P35" s="12" t="str">
        <f aca="false">IF(N35="","",IF(N35&gt;0.32,"Reprice or resource",IF(N35&lt;0.2,"Check cost is realistic","OK")))</f>
        <v>OK</v>
      </c>
    </row>
    <row r="36" customFormat="false" ht="23.85" hidden="false" customHeight="false" outlineLevel="0" collapsed="false">
      <c r="A36" s="8" t="n">
        <v>35</v>
      </c>
      <c r="B36" s="8" t="s">
        <v>203</v>
      </c>
      <c r="C36" s="8" t="s">
        <v>114</v>
      </c>
      <c r="D36" s="8" t="s">
        <v>41</v>
      </c>
      <c r="E36" s="8" t="s">
        <v>169</v>
      </c>
      <c r="F36" s="8" t="s">
        <v>204</v>
      </c>
      <c r="G36" s="8" t="s">
        <v>179</v>
      </c>
      <c r="H36" s="8" t="s">
        <v>45</v>
      </c>
      <c r="I36" s="8" t="s">
        <v>45</v>
      </c>
      <c r="J36" s="8" t="s">
        <v>116</v>
      </c>
      <c r="K36" s="8" t="s">
        <v>117</v>
      </c>
      <c r="L36" s="9" t="n">
        <v>6.5</v>
      </c>
      <c r="M36" s="10" t="n">
        <v>24</v>
      </c>
      <c r="N36" s="11" t="n">
        <f aca="false">IFERROR(L36/M36,"")</f>
        <v>0.270833333333333</v>
      </c>
      <c r="O36" s="12" t="s">
        <v>48</v>
      </c>
      <c r="P36" s="12" t="str">
        <f aca="false">IF(N36="","",IF(N36&gt;0.32,"Reprice or resource",IF(N36&lt;0.2,"Check cost is realistic","OK")))</f>
        <v>OK</v>
      </c>
    </row>
    <row r="37" customFormat="false" ht="23.85" hidden="false" customHeight="false" outlineLevel="0" collapsed="false">
      <c r="A37" s="8" t="n">
        <v>36</v>
      </c>
      <c r="B37" s="8" t="s">
        <v>205</v>
      </c>
      <c r="C37" s="8" t="s">
        <v>206</v>
      </c>
      <c r="D37" s="8" t="s">
        <v>207</v>
      </c>
      <c r="E37" s="8" t="s">
        <v>169</v>
      </c>
      <c r="F37" s="8" t="s">
        <v>208</v>
      </c>
      <c r="G37" s="8" t="s">
        <v>179</v>
      </c>
      <c r="H37" s="8" t="s">
        <v>45</v>
      </c>
      <c r="I37" s="8" t="s">
        <v>45</v>
      </c>
      <c r="J37" s="8" t="s">
        <v>209</v>
      </c>
      <c r="K37" s="8" t="s">
        <v>117</v>
      </c>
      <c r="L37" s="9" t="n">
        <v>10</v>
      </c>
      <c r="M37" s="10" t="n">
        <v>36</v>
      </c>
      <c r="N37" s="11" t="n">
        <f aca="false">IFERROR(L37/M37,"")</f>
        <v>0.277777777777778</v>
      </c>
      <c r="O37" s="12" t="s">
        <v>48</v>
      </c>
      <c r="P37" s="12" t="str">
        <f aca="false">IF(N37="","",IF(N37&gt;0.32,"Reprice or resource",IF(N37&lt;0.2,"Check cost is realistic","OK")))</f>
        <v>OK</v>
      </c>
    </row>
    <row r="38" customFormat="false" ht="23.85" hidden="false" customHeight="false" outlineLevel="0" collapsed="false">
      <c r="A38" s="8" t="n">
        <v>37</v>
      </c>
      <c r="B38" s="8" t="s">
        <v>210</v>
      </c>
      <c r="C38" s="8" t="s">
        <v>211</v>
      </c>
      <c r="D38" s="8" t="s">
        <v>130</v>
      </c>
      <c r="E38" s="8" t="s">
        <v>169</v>
      </c>
      <c r="F38" s="8" t="s">
        <v>212</v>
      </c>
      <c r="G38" s="8" t="s">
        <v>179</v>
      </c>
      <c r="H38" s="8" t="s">
        <v>45</v>
      </c>
      <c r="I38" s="8" t="s">
        <v>45</v>
      </c>
      <c r="J38" s="8" t="s">
        <v>213</v>
      </c>
      <c r="K38" s="8" t="s">
        <v>214</v>
      </c>
      <c r="L38" s="9" t="n">
        <v>9</v>
      </c>
      <c r="M38" s="10" t="n">
        <v>32</v>
      </c>
      <c r="N38" s="11" t="n">
        <f aca="false">IFERROR(L38/M38,"")</f>
        <v>0.28125</v>
      </c>
      <c r="O38" s="12" t="s">
        <v>48</v>
      </c>
      <c r="P38" s="12" t="str">
        <f aca="false">IF(N38="","",IF(N38&gt;0.32,"Reprice or resource",IF(N38&lt;0.2,"Check cost is realistic","OK")))</f>
        <v>OK</v>
      </c>
    </row>
    <row r="39" customFormat="false" ht="23.85" hidden="false" customHeight="false" outlineLevel="0" collapsed="false">
      <c r="A39" s="8" t="n">
        <v>38</v>
      </c>
      <c r="B39" s="8" t="s">
        <v>215</v>
      </c>
      <c r="C39" s="8" t="s">
        <v>216</v>
      </c>
      <c r="D39" s="8" t="s">
        <v>41</v>
      </c>
      <c r="E39" s="8" t="s">
        <v>169</v>
      </c>
      <c r="F39" s="8" t="s">
        <v>217</v>
      </c>
      <c r="G39" s="8" t="s">
        <v>87</v>
      </c>
      <c r="H39" s="8" t="s">
        <v>45</v>
      </c>
      <c r="I39" s="8" t="s">
        <v>45</v>
      </c>
      <c r="J39" s="8" t="s">
        <v>218</v>
      </c>
      <c r="K39" s="8" t="s">
        <v>78</v>
      </c>
      <c r="L39" s="9" t="n">
        <v>14</v>
      </c>
      <c r="M39" s="10" t="n">
        <v>48</v>
      </c>
      <c r="N39" s="11" t="n">
        <f aca="false">IFERROR(L39/M39,"")</f>
        <v>0.291666666666667</v>
      </c>
      <c r="O39" s="12" t="s">
        <v>48</v>
      </c>
      <c r="P39" s="12" t="str">
        <f aca="false">IF(N39="","",IF(N39&gt;0.32,"Reprice or resource",IF(N39&lt;0.2,"Check cost is realistic","OK")))</f>
        <v>OK</v>
      </c>
    </row>
    <row r="40" customFormat="false" ht="23.85" hidden="false" customHeight="false" outlineLevel="0" collapsed="false">
      <c r="A40" s="8" t="n">
        <v>39</v>
      </c>
      <c r="B40" s="8" t="s">
        <v>219</v>
      </c>
      <c r="C40" s="8" t="s">
        <v>220</v>
      </c>
      <c r="D40" s="8" t="s">
        <v>41</v>
      </c>
      <c r="E40" s="8" t="s">
        <v>169</v>
      </c>
      <c r="F40" s="8" t="s">
        <v>221</v>
      </c>
      <c r="G40" s="8" t="s">
        <v>171</v>
      </c>
      <c r="H40" s="8" t="s">
        <v>45</v>
      </c>
      <c r="I40" s="8" t="s">
        <v>45</v>
      </c>
      <c r="J40" s="8" t="s">
        <v>222</v>
      </c>
      <c r="K40" s="8" t="s">
        <v>68</v>
      </c>
      <c r="L40" s="9" t="n">
        <v>20</v>
      </c>
      <c r="M40" s="10" t="n">
        <v>68</v>
      </c>
      <c r="N40" s="11" t="n">
        <f aca="false">IFERROR(L40/M40,"")</f>
        <v>0.294117647058824</v>
      </c>
      <c r="O40" s="12" t="s">
        <v>48</v>
      </c>
      <c r="P40" s="12" t="str">
        <f aca="false">IF(N40="","",IF(N40&gt;0.32,"Reprice or resource",IF(N40&lt;0.2,"Check cost is realistic","OK")))</f>
        <v>OK</v>
      </c>
    </row>
    <row r="41" customFormat="false" ht="23.85" hidden="false" customHeight="false" outlineLevel="0" collapsed="false">
      <c r="A41" s="8" t="n">
        <v>40</v>
      </c>
      <c r="B41" s="8" t="s">
        <v>223</v>
      </c>
      <c r="C41" s="8" t="s">
        <v>224</v>
      </c>
      <c r="D41" s="8" t="s">
        <v>41</v>
      </c>
      <c r="E41" s="8" t="s">
        <v>169</v>
      </c>
      <c r="F41" s="8" t="s">
        <v>225</v>
      </c>
      <c r="G41" s="8" t="s">
        <v>179</v>
      </c>
      <c r="H41" s="8" t="s">
        <v>99</v>
      </c>
      <c r="I41" s="8" t="s">
        <v>45</v>
      </c>
      <c r="J41" s="8" t="s">
        <v>226</v>
      </c>
      <c r="K41" s="8" t="s">
        <v>127</v>
      </c>
      <c r="L41" s="9" t="n">
        <v>11</v>
      </c>
      <c r="M41" s="10" t="n">
        <v>40</v>
      </c>
      <c r="N41" s="11" t="n">
        <f aca="false">IFERROR(L41/M41,"")</f>
        <v>0.275</v>
      </c>
      <c r="O41" s="12" t="s">
        <v>48</v>
      </c>
      <c r="P41" s="12" t="str">
        <f aca="false">IF(N41="","",IF(N41&gt;0.32,"Reprice or resource",IF(N41&lt;0.2,"Check cost is realistic","OK")))</f>
        <v>OK</v>
      </c>
    </row>
    <row r="42" customFormat="false" ht="23.85" hidden="false" customHeight="false" outlineLevel="0" collapsed="false">
      <c r="A42" s="8" t="n">
        <v>41</v>
      </c>
      <c r="B42" s="8" t="s">
        <v>227</v>
      </c>
      <c r="C42" s="8" t="s">
        <v>228</v>
      </c>
      <c r="D42" s="8" t="s">
        <v>41</v>
      </c>
      <c r="E42" s="8" t="s">
        <v>169</v>
      </c>
      <c r="F42" s="8" t="s">
        <v>229</v>
      </c>
      <c r="G42" s="8" t="s">
        <v>179</v>
      </c>
      <c r="H42" s="8" t="s">
        <v>45</v>
      </c>
      <c r="I42" s="8" t="s">
        <v>45</v>
      </c>
      <c r="J42" s="8" t="s">
        <v>230</v>
      </c>
      <c r="K42" s="8" t="s">
        <v>231</v>
      </c>
      <c r="L42" s="9" t="n">
        <v>12</v>
      </c>
      <c r="M42" s="10" t="n">
        <v>42</v>
      </c>
      <c r="N42" s="11" t="n">
        <f aca="false">IFERROR(L42/M42,"")</f>
        <v>0.285714285714286</v>
      </c>
      <c r="O42" s="12" t="s">
        <v>48</v>
      </c>
      <c r="P42" s="12" t="str">
        <f aca="false">IF(N42="","",IF(N42&gt;0.32,"Reprice or resource",IF(N42&lt;0.2,"Check cost is realistic","OK")))</f>
        <v>OK</v>
      </c>
    </row>
    <row r="43" customFormat="false" ht="15" hidden="false" customHeight="false" outlineLevel="0" collapsed="false">
      <c r="A43" s="8" t="n">
        <v>42</v>
      </c>
      <c r="B43" s="8" t="s">
        <v>232</v>
      </c>
      <c r="C43" s="8" t="s">
        <v>233</v>
      </c>
      <c r="D43" s="8" t="s">
        <v>149</v>
      </c>
      <c r="E43" s="8" t="s">
        <v>169</v>
      </c>
      <c r="F43" s="8" t="s">
        <v>234</v>
      </c>
      <c r="G43" s="8" t="s">
        <v>87</v>
      </c>
      <c r="H43" s="8" t="s">
        <v>45</v>
      </c>
      <c r="I43" s="8" t="s">
        <v>45</v>
      </c>
      <c r="J43" s="8" t="s">
        <v>235</v>
      </c>
      <c r="K43" s="8" t="s">
        <v>68</v>
      </c>
      <c r="L43" s="9" t="n">
        <v>11</v>
      </c>
      <c r="M43" s="10" t="n">
        <v>38</v>
      </c>
      <c r="N43" s="11" t="n">
        <f aca="false">IFERROR(L43/M43,"")</f>
        <v>0.289473684210526</v>
      </c>
      <c r="O43" s="12" t="s">
        <v>48</v>
      </c>
      <c r="P43" s="12" t="str">
        <f aca="false">IF(N43="","",IF(N43&gt;0.32,"Reprice or resource",IF(N43&lt;0.2,"Check cost is realistic","OK")))</f>
        <v>OK</v>
      </c>
    </row>
    <row r="44" customFormat="false" ht="15" hidden="false" customHeight="false" outlineLevel="0" collapsed="false">
      <c r="A44" s="8" t="n">
        <v>43</v>
      </c>
      <c r="B44" s="8" t="s">
        <v>236</v>
      </c>
      <c r="C44" s="8" t="s">
        <v>237</v>
      </c>
      <c r="D44" s="8" t="s">
        <v>139</v>
      </c>
      <c r="E44" s="8" t="s">
        <v>169</v>
      </c>
      <c r="F44" s="8" t="s">
        <v>238</v>
      </c>
      <c r="G44" s="8" t="s">
        <v>171</v>
      </c>
      <c r="H44" s="8" t="s">
        <v>45</v>
      </c>
      <c r="I44" s="8" t="s">
        <v>45</v>
      </c>
      <c r="J44" s="8" t="s">
        <v>239</v>
      </c>
      <c r="K44" s="8" t="s">
        <v>78</v>
      </c>
      <c r="L44" s="9" t="n">
        <v>18</v>
      </c>
      <c r="M44" s="10" t="n">
        <v>62</v>
      </c>
      <c r="N44" s="11" t="n">
        <f aca="false">IFERROR(L44/M44,"")</f>
        <v>0.290322580645161</v>
      </c>
      <c r="O44" s="12" t="s">
        <v>48</v>
      </c>
      <c r="P44" s="12" t="str">
        <f aca="false">IF(N44="","",IF(N44&gt;0.32,"Reprice or resource",IF(N44&lt;0.2,"Check cost is realistic","OK")))</f>
        <v>OK</v>
      </c>
    </row>
    <row r="45" customFormat="false" ht="23.85" hidden="false" customHeight="false" outlineLevel="0" collapsed="false">
      <c r="A45" s="8" t="n">
        <v>44</v>
      </c>
      <c r="B45" s="8" t="s">
        <v>240</v>
      </c>
      <c r="C45" s="8" t="s">
        <v>241</v>
      </c>
      <c r="D45" s="8" t="s">
        <v>97</v>
      </c>
      <c r="E45" s="8" t="s">
        <v>169</v>
      </c>
      <c r="F45" s="8" t="s">
        <v>242</v>
      </c>
      <c r="G45" s="8" t="s">
        <v>44</v>
      </c>
      <c r="H45" s="8" t="s">
        <v>45</v>
      </c>
      <c r="I45" s="8" t="s">
        <v>45</v>
      </c>
      <c r="J45" s="8" t="s">
        <v>243</v>
      </c>
      <c r="K45" s="8" t="s">
        <v>78</v>
      </c>
      <c r="L45" s="9" t="n">
        <v>16</v>
      </c>
      <c r="M45" s="10" t="n">
        <v>55</v>
      </c>
      <c r="N45" s="11" t="n">
        <f aca="false">IFERROR(L45/M45,"")</f>
        <v>0.290909090909091</v>
      </c>
      <c r="O45" s="12" t="s">
        <v>48</v>
      </c>
      <c r="P45" s="12" t="str">
        <f aca="false">IF(N45="","",IF(N45&gt;0.32,"Reprice or resource",IF(N45&lt;0.2,"Check cost is realistic","OK")))</f>
        <v>OK</v>
      </c>
    </row>
    <row r="46" customFormat="false" ht="23.85" hidden="false" customHeight="false" outlineLevel="0" collapsed="false">
      <c r="A46" s="8" t="n">
        <v>45</v>
      </c>
      <c r="B46" s="8" t="s">
        <v>244</v>
      </c>
      <c r="C46" s="8" t="s">
        <v>245</v>
      </c>
      <c r="D46" s="8" t="s">
        <v>41</v>
      </c>
      <c r="E46" s="8" t="s">
        <v>169</v>
      </c>
      <c r="F46" s="8" t="s">
        <v>246</v>
      </c>
      <c r="G46" s="8" t="s">
        <v>171</v>
      </c>
      <c r="H46" s="8" t="s">
        <v>45</v>
      </c>
      <c r="I46" s="8" t="s">
        <v>99</v>
      </c>
      <c r="J46" s="8" t="s">
        <v>247</v>
      </c>
      <c r="K46" s="8" t="s">
        <v>94</v>
      </c>
      <c r="L46" s="9" t="n">
        <v>8</v>
      </c>
      <c r="M46" s="10" t="n">
        <v>32</v>
      </c>
      <c r="N46" s="11" t="n">
        <f aca="false">IFERROR(L46/M46,"")</f>
        <v>0.25</v>
      </c>
      <c r="O46" s="12" t="s">
        <v>48</v>
      </c>
      <c r="P46" s="12" t="str">
        <f aca="false">IF(N46="","",IF(N46&gt;0.32,"Reprice or resource",IF(N46&lt;0.2,"Check cost is realistic","OK")))</f>
        <v>OK</v>
      </c>
    </row>
    <row r="47" customFormat="false" ht="15" hidden="false" customHeight="false" outlineLevel="0" collapsed="false">
      <c r="A47" s="8" t="n">
        <v>46</v>
      </c>
      <c r="B47" s="8" t="s">
        <v>248</v>
      </c>
      <c r="C47" s="8" t="s">
        <v>248</v>
      </c>
      <c r="D47" s="8" t="s">
        <v>41</v>
      </c>
      <c r="E47" s="8" t="s">
        <v>249</v>
      </c>
      <c r="F47" s="8" t="s">
        <v>250</v>
      </c>
      <c r="G47" s="8" t="s">
        <v>179</v>
      </c>
      <c r="H47" s="8" t="s">
        <v>45</v>
      </c>
      <c r="I47" s="8" t="s">
        <v>99</v>
      </c>
      <c r="J47" s="8" t="s">
        <v>251</v>
      </c>
      <c r="K47" s="8" t="s">
        <v>94</v>
      </c>
      <c r="L47" s="9" t="n">
        <v>3.5</v>
      </c>
      <c r="M47" s="10" t="n">
        <v>14</v>
      </c>
      <c r="N47" s="11" t="n">
        <f aca="false">IFERROR(L47/M47,"")</f>
        <v>0.25</v>
      </c>
      <c r="O47" s="12" t="s">
        <v>48</v>
      </c>
      <c r="P47" s="12" t="str">
        <f aca="false">IF(N47="","",IF(N47&gt;0.32,"Reprice or resource",IF(N47&lt;0.2,"Check cost is realistic","OK")))</f>
        <v>OK</v>
      </c>
    </row>
    <row r="48" customFormat="false" ht="23.85" hidden="false" customHeight="false" outlineLevel="0" collapsed="false">
      <c r="A48" s="8" t="n">
        <v>47</v>
      </c>
      <c r="B48" s="8" t="s">
        <v>252</v>
      </c>
      <c r="C48" s="8" t="s">
        <v>252</v>
      </c>
      <c r="D48" s="8" t="s">
        <v>41</v>
      </c>
      <c r="E48" s="8" t="s">
        <v>249</v>
      </c>
      <c r="F48" s="8" t="s">
        <v>253</v>
      </c>
      <c r="G48" s="8" t="s">
        <v>179</v>
      </c>
      <c r="H48" s="8" t="s">
        <v>45</v>
      </c>
      <c r="I48" s="8" t="s">
        <v>99</v>
      </c>
      <c r="J48" s="8" t="s">
        <v>254</v>
      </c>
      <c r="K48" s="8" t="s">
        <v>94</v>
      </c>
      <c r="L48" s="9" t="n">
        <v>3</v>
      </c>
      <c r="M48" s="10" t="n">
        <v>12</v>
      </c>
      <c r="N48" s="11" t="n">
        <f aca="false">IFERROR(L48/M48,"")</f>
        <v>0.25</v>
      </c>
      <c r="O48" s="12" t="s">
        <v>48</v>
      </c>
      <c r="P48" s="12" t="str">
        <f aca="false">IF(N48="","",IF(N48&gt;0.32,"Reprice or resource",IF(N48&lt;0.2,"Check cost is realistic","OK")))</f>
        <v>OK</v>
      </c>
    </row>
    <row r="49" customFormat="false" ht="23.85" hidden="false" customHeight="false" outlineLevel="0" collapsed="false">
      <c r="A49" s="8" t="n">
        <v>48</v>
      </c>
      <c r="B49" s="8" t="s">
        <v>255</v>
      </c>
      <c r="C49" s="8" t="s">
        <v>245</v>
      </c>
      <c r="D49" s="8" t="s">
        <v>41</v>
      </c>
      <c r="E49" s="8" t="s">
        <v>249</v>
      </c>
      <c r="F49" s="8" t="s">
        <v>256</v>
      </c>
      <c r="G49" s="8" t="s">
        <v>44</v>
      </c>
      <c r="H49" s="8" t="s">
        <v>45</v>
      </c>
      <c r="I49" s="8" t="s">
        <v>99</v>
      </c>
      <c r="J49" s="8" t="s">
        <v>257</v>
      </c>
      <c r="K49" s="8" t="s">
        <v>94</v>
      </c>
      <c r="L49" s="9" t="n">
        <v>3.2</v>
      </c>
      <c r="M49" s="10" t="n">
        <v>13</v>
      </c>
      <c r="N49" s="11" t="n">
        <f aca="false">IFERROR(L49/M49,"")</f>
        <v>0.246153846153846</v>
      </c>
      <c r="O49" s="12" t="s">
        <v>48</v>
      </c>
      <c r="P49" s="12" t="str">
        <f aca="false">IF(N49="","",IF(N49&gt;0.32,"Reprice or resource",IF(N49&lt;0.2,"Check cost is realistic","OK")))</f>
        <v>OK</v>
      </c>
    </row>
    <row r="50" customFormat="false" ht="23.85" hidden="false" customHeight="false" outlineLevel="0" collapsed="false">
      <c r="A50" s="8" t="n">
        <v>49</v>
      </c>
      <c r="B50" s="8" t="s">
        <v>258</v>
      </c>
      <c r="C50" s="8" t="s">
        <v>259</v>
      </c>
      <c r="D50" s="8" t="s">
        <v>41</v>
      </c>
      <c r="E50" s="8" t="s">
        <v>249</v>
      </c>
      <c r="F50" s="8" t="s">
        <v>260</v>
      </c>
      <c r="G50" s="8" t="s">
        <v>179</v>
      </c>
      <c r="H50" s="8" t="s">
        <v>45</v>
      </c>
      <c r="I50" s="8" t="s">
        <v>45</v>
      </c>
      <c r="J50" s="8" t="s">
        <v>261</v>
      </c>
      <c r="K50" s="8" t="s">
        <v>262</v>
      </c>
      <c r="L50" s="9" t="n">
        <v>2.4</v>
      </c>
      <c r="M50" s="10" t="n">
        <v>10</v>
      </c>
      <c r="N50" s="11" t="n">
        <f aca="false">IFERROR(L50/M50,"")</f>
        <v>0.24</v>
      </c>
      <c r="O50" s="12" t="s">
        <v>48</v>
      </c>
      <c r="P50" s="12" t="str">
        <f aca="false">IF(N50="","",IF(N50&gt;0.32,"Reprice or resource",IF(N50&lt;0.2,"Check cost is realistic","OK")))</f>
        <v>OK</v>
      </c>
    </row>
    <row r="51" customFormat="false" ht="23.85" hidden="false" customHeight="false" outlineLevel="0" collapsed="false">
      <c r="A51" s="8" t="n">
        <v>50</v>
      </c>
      <c r="B51" s="8" t="s">
        <v>263</v>
      </c>
      <c r="C51" s="8" t="s">
        <v>264</v>
      </c>
      <c r="D51" s="8" t="s">
        <v>41</v>
      </c>
      <c r="E51" s="8" t="s">
        <v>249</v>
      </c>
      <c r="F51" s="8" t="s">
        <v>265</v>
      </c>
      <c r="G51" s="8" t="s">
        <v>179</v>
      </c>
      <c r="H51" s="8" t="s">
        <v>45</v>
      </c>
      <c r="I51" s="8" t="s">
        <v>99</v>
      </c>
      <c r="J51" s="8" t="s">
        <v>266</v>
      </c>
      <c r="K51" s="8" t="s">
        <v>94</v>
      </c>
      <c r="L51" s="9" t="n">
        <v>3</v>
      </c>
      <c r="M51" s="10" t="n">
        <v>12</v>
      </c>
      <c r="N51" s="11" t="n">
        <f aca="false">IFERROR(L51/M51,"")</f>
        <v>0.25</v>
      </c>
      <c r="O51" s="12" t="s">
        <v>48</v>
      </c>
      <c r="P51" s="12" t="str">
        <f aca="false">IF(N51="","",IF(N51&gt;0.32,"Reprice or resource",IF(N51&lt;0.2,"Check cost is realistic","OK")))</f>
        <v>OK</v>
      </c>
    </row>
    <row r="52" customFormat="false" ht="23.85" hidden="false" customHeight="false" outlineLevel="0" collapsed="false">
      <c r="A52" s="8" t="n">
        <v>51</v>
      </c>
      <c r="B52" s="8" t="s">
        <v>267</v>
      </c>
      <c r="C52" s="8" t="s">
        <v>85</v>
      </c>
      <c r="D52" s="8" t="s">
        <v>41</v>
      </c>
      <c r="E52" s="8" t="s">
        <v>249</v>
      </c>
      <c r="F52" s="8" t="s">
        <v>268</v>
      </c>
      <c r="G52" s="8" t="s">
        <v>44</v>
      </c>
      <c r="H52" s="8" t="s">
        <v>45</v>
      </c>
      <c r="I52" s="8" t="s">
        <v>99</v>
      </c>
      <c r="J52" s="8" t="s">
        <v>269</v>
      </c>
      <c r="K52" s="8" t="s">
        <v>270</v>
      </c>
      <c r="L52" s="9" t="n">
        <v>1.2</v>
      </c>
      <c r="M52" s="10" t="n">
        <v>6</v>
      </c>
      <c r="N52" s="11" t="n">
        <f aca="false">IFERROR(L52/M52,"")</f>
        <v>0.2</v>
      </c>
      <c r="O52" s="12" t="s">
        <v>48</v>
      </c>
      <c r="P52" s="12" t="str">
        <f aca="false">IF(N52="","",IF(N52&gt;0.32,"Reprice or resource",IF(N52&lt;0.2,"Check cost is realistic","OK")))</f>
        <v>OK</v>
      </c>
    </row>
    <row r="53" customFormat="false" ht="15" hidden="false" customHeight="false" outlineLevel="0" collapsed="false">
      <c r="A53" s="8" t="n">
        <v>52</v>
      </c>
      <c r="B53" s="8" t="s">
        <v>271</v>
      </c>
      <c r="C53" s="8" t="s">
        <v>272</v>
      </c>
      <c r="D53" s="8" t="s">
        <v>41</v>
      </c>
      <c r="E53" s="8" t="s">
        <v>249</v>
      </c>
      <c r="F53" s="8" t="s">
        <v>273</v>
      </c>
      <c r="G53" s="8" t="s">
        <v>44</v>
      </c>
      <c r="H53" s="8" t="s">
        <v>45</v>
      </c>
      <c r="I53" s="8" t="s">
        <v>99</v>
      </c>
      <c r="J53" s="8" t="s">
        <v>274</v>
      </c>
      <c r="K53" s="8" t="s">
        <v>262</v>
      </c>
      <c r="L53" s="9" t="n">
        <v>0.9</v>
      </c>
      <c r="M53" s="10" t="n">
        <v>5</v>
      </c>
      <c r="N53" s="11" t="n">
        <f aca="false">IFERROR(L53/M53,"")</f>
        <v>0.18</v>
      </c>
      <c r="O53" s="12" t="s">
        <v>48</v>
      </c>
      <c r="P53" s="12" t="str">
        <f aca="false">IF(N53="","",IF(N53&gt;0.32,"Reprice or resource",IF(N53&lt;0.2,"Check cost is realistic","OK")))</f>
        <v>Check cost is realistic</v>
      </c>
    </row>
    <row r="54" customFormat="false" ht="23.85" hidden="false" customHeight="false" outlineLevel="0" collapsed="false">
      <c r="A54" s="8" t="n">
        <v>53</v>
      </c>
      <c r="B54" s="8" t="s">
        <v>275</v>
      </c>
      <c r="C54" s="8" t="s">
        <v>276</v>
      </c>
      <c r="D54" s="8" t="s">
        <v>130</v>
      </c>
      <c r="E54" s="8" t="s">
        <v>249</v>
      </c>
      <c r="F54" s="8" t="s">
        <v>277</v>
      </c>
      <c r="G54" s="8" t="s">
        <v>87</v>
      </c>
      <c r="H54" s="8" t="s">
        <v>45</v>
      </c>
      <c r="I54" s="8" t="s">
        <v>99</v>
      </c>
      <c r="J54" s="8" t="s">
        <v>278</v>
      </c>
      <c r="K54" s="8" t="s">
        <v>262</v>
      </c>
      <c r="L54" s="9" t="n">
        <v>1.4</v>
      </c>
      <c r="M54" s="10" t="n">
        <v>6</v>
      </c>
      <c r="N54" s="11" t="n">
        <f aca="false">IFERROR(L54/M54,"")</f>
        <v>0.233333333333333</v>
      </c>
      <c r="O54" s="12" t="s">
        <v>48</v>
      </c>
      <c r="P54" s="12" t="str">
        <f aca="false">IF(N54="","",IF(N54&gt;0.32,"Reprice or resource",IF(N54&lt;0.2,"Check cost is realistic","OK")))</f>
        <v>OK</v>
      </c>
    </row>
    <row r="55" customFormat="false" ht="15" hidden="false" customHeight="false" outlineLevel="0" collapsed="false">
      <c r="A55" s="8" t="n">
        <v>54</v>
      </c>
      <c r="B55" s="8" t="s">
        <v>279</v>
      </c>
      <c r="C55" s="8" t="s">
        <v>280</v>
      </c>
      <c r="D55" s="8" t="s">
        <v>41</v>
      </c>
      <c r="E55" s="8" t="s">
        <v>249</v>
      </c>
      <c r="F55" s="8" t="s">
        <v>281</v>
      </c>
      <c r="G55" s="8" t="s">
        <v>179</v>
      </c>
      <c r="H55" s="8" t="s">
        <v>45</v>
      </c>
      <c r="I55" s="8" t="s">
        <v>99</v>
      </c>
      <c r="J55" s="8" t="s">
        <v>282</v>
      </c>
      <c r="K55" s="8" t="s">
        <v>94</v>
      </c>
      <c r="L55" s="9" t="n">
        <v>3</v>
      </c>
      <c r="M55" s="10" t="n">
        <v>12</v>
      </c>
      <c r="N55" s="11" t="n">
        <f aca="false">IFERROR(L55/M55,"")</f>
        <v>0.25</v>
      </c>
      <c r="O55" s="12" t="s">
        <v>48</v>
      </c>
      <c r="P55" s="12" t="str">
        <f aca="false">IF(N55="","",IF(N55&gt;0.32,"Reprice or resource",IF(N55&lt;0.2,"Check cost is realistic","OK")))</f>
        <v>OK</v>
      </c>
    </row>
    <row r="56" customFormat="false" ht="15" hidden="false" customHeight="false" outlineLevel="0" collapsed="false">
      <c r="A56" s="8" t="n">
        <v>55</v>
      </c>
      <c r="B56" s="8" t="s">
        <v>283</v>
      </c>
      <c r="C56" s="8" t="s">
        <v>284</v>
      </c>
      <c r="D56" s="8" t="s">
        <v>41</v>
      </c>
      <c r="E56" s="8" t="s">
        <v>249</v>
      </c>
      <c r="F56" s="8" t="s">
        <v>285</v>
      </c>
      <c r="G56" s="8" t="s">
        <v>179</v>
      </c>
      <c r="H56" s="8" t="s">
        <v>45</v>
      </c>
      <c r="I56" s="8" t="s">
        <v>99</v>
      </c>
      <c r="J56" s="8" t="s">
        <v>286</v>
      </c>
      <c r="K56" s="8" t="s">
        <v>287</v>
      </c>
      <c r="L56" s="9" t="n">
        <v>3.2</v>
      </c>
      <c r="M56" s="10" t="n">
        <v>13</v>
      </c>
      <c r="N56" s="11" t="n">
        <f aca="false">IFERROR(L56/M56,"")</f>
        <v>0.246153846153846</v>
      </c>
      <c r="O56" s="12" t="s">
        <v>48</v>
      </c>
      <c r="P56" s="12" t="str">
        <f aca="false">IF(N56="","",IF(N56&gt;0.32,"Reprice or resource",IF(N56&lt;0.2,"Check cost is realistic","OK")))</f>
        <v>OK</v>
      </c>
    </row>
    <row r="57" customFormat="false" ht="15" hidden="false" customHeight="false" outlineLevel="0" collapsed="false">
      <c r="A57" s="8" t="n">
        <v>56</v>
      </c>
      <c r="B57" s="8" t="s">
        <v>288</v>
      </c>
      <c r="C57" s="8" t="s">
        <v>289</v>
      </c>
      <c r="D57" s="8" t="s">
        <v>130</v>
      </c>
      <c r="E57" s="8" t="s">
        <v>249</v>
      </c>
      <c r="F57" s="8" t="s">
        <v>290</v>
      </c>
      <c r="G57" s="8" t="s">
        <v>179</v>
      </c>
      <c r="H57" s="8" t="s">
        <v>45</v>
      </c>
      <c r="I57" s="8" t="s">
        <v>99</v>
      </c>
      <c r="J57" s="8" t="s">
        <v>291</v>
      </c>
      <c r="K57" s="8" t="s">
        <v>94</v>
      </c>
      <c r="L57" s="9" t="n">
        <v>2.6</v>
      </c>
      <c r="M57" s="10" t="n">
        <v>11</v>
      </c>
      <c r="N57" s="11" t="n">
        <f aca="false">IFERROR(L57/M57,"")</f>
        <v>0.236363636363636</v>
      </c>
      <c r="O57" s="12" t="s">
        <v>48</v>
      </c>
      <c r="P57" s="12" t="str">
        <f aca="false">IF(N57="","",IF(N57&gt;0.32,"Reprice or resource",IF(N57&lt;0.2,"Check cost is realistic","OK")))</f>
        <v>OK</v>
      </c>
    </row>
    <row r="58" customFormat="false" ht="15" hidden="false" customHeight="false" outlineLevel="0" collapsed="false">
      <c r="A58" s="8" t="n">
        <v>57</v>
      </c>
      <c r="B58" s="8" t="s">
        <v>292</v>
      </c>
      <c r="C58" s="8" t="s">
        <v>293</v>
      </c>
      <c r="D58" s="8" t="s">
        <v>41</v>
      </c>
      <c r="E58" s="8" t="s">
        <v>249</v>
      </c>
      <c r="F58" s="8" t="s">
        <v>294</v>
      </c>
      <c r="G58" s="8" t="s">
        <v>179</v>
      </c>
      <c r="H58" s="8" t="s">
        <v>45</v>
      </c>
      <c r="I58" s="8" t="s">
        <v>99</v>
      </c>
      <c r="J58" s="8" t="s">
        <v>295</v>
      </c>
      <c r="K58" s="8" t="s">
        <v>94</v>
      </c>
      <c r="L58" s="9" t="n">
        <v>5</v>
      </c>
      <c r="M58" s="10" t="n">
        <v>18</v>
      </c>
      <c r="N58" s="11" t="n">
        <f aca="false">IFERROR(L58/M58,"")</f>
        <v>0.277777777777778</v>
      </c>
      <c r="O58" s="12" t="s">
        <v>48</v>
      </c>
      <c r="P58" s="12" t="str">
        <f aca="false">IF(N58="","",IF(N58&gt;0.32,"Reprice or resource",IF(N58&lt;0.2,"Check cost is realistic","OK")))</f>
        <v>OK</v>
      </c>
    </row>
    <row r="59" customFormat="false" ht="23.85" hidden="false" customHeight="false" outlineLevel="0" collapsed="false">
      <c r="A59" s="8" t="n">
        <v>58</v>
      </c>
      <c r="B59" s="8" t="s">
        <v>296</v>
      </c>
      <c r="C59" s="8" t="s">
        <v>297</v>
      </c>
      <c r="D59" s="8" t="s">
        <v>41</v>
      </c>
      <c r="E59" s="8" t="s">
        <v>298</v>
      </c>
      <c r="F59" s="8" t="s">
        <v>299</v>
      </c>
      <c r="G59" s="8" t="s">
        <v>87</v>
      </c>
      <c r="H59" s="8" t="s">
        <v>45</v>
      </c>
      <c r="I59" s="8" t="s">
        <v>45</v>
      </c>
      <c r="J59" s="8" t="s">
        <v>300</v>
      </c>
      <c r="K59" s="8" t="s">
        <v>166</v>
      </c>
      <c r="L59" s="9" t="n">
        <v>12</v>
      </c>
      <c r="M59" s="10" t="n">
        <v>45</v>
      </c>
      <c r="N59" s="11" t="n">
        <f aca="false">IFERROR(L59/M59,"")</f>
        <v>0.266666666666667</v>
      </c>
      <c r="O59" s="12" t="s">
        <v>48</v>
      </c>
      <c r="P59" s="12" t="str">
        <f aca="false">IF(N59="","",IF(N59&gt;0.32,"Reprice or resource",IF(N59&lt;0.2,"Check cost is realistic","OK")))</f>
        <v>OK</v>
      </c>
    </row>
    <row r="60" customFormat="false" ht="23.85" hidden="false" customHeight="false" outlineLevel="0" collapsed="false">
      <c r="A60" s="8" t="n">
        <v>59</v>
      </c>
      <c r="B60" s="8" t="s">
        <v>301</v>
      </c>
      <c r="C60" s="8" t="s">
        <v>302</v>
      </c>
      <c r="D60" s="8" t="s">
        <v>41</v>
      </c>
      <c r="E60" s="8" t="s">
        <v>298</v>
      </c>
      <c r="F60" s="8" t="s">
        <v>303</v>
      </c>
      <c r="G60" s="8" t="s">
        <v>44</v>
      </c>
      <c r="H60" s="8" t="s">
        <v>45</v>
      </c>
      <c r="I60" s="8" t="s">
        <v>45</v>
      </c>
      <c r="J60" s="8" t="s">
        <v>304</v>
      </c>
      <c r="K60" s="8" t="s">
        <v>305</v>
      </c>
      <c r="L60" s="9" t="n">
        <v>5.5</v>
      </c>
      <c r="M60" s="10" t="n">
        <v>20</v>
      </c>
      <c r="N60" s="11" t="n">
        <f aca="false">IFERROR(L60/M60,"")</f>
        <v>0.275</v>
      </c>
      <c r="O60" s="12" t="s">
        <v>48</v>
      </c>
      <c r="P60" s="12" t="str">
        <f aca="false">IF(N60="","",IF(N60&gt;0.32,"Reprice or resource",IF(N60&lt;0.2,"Check cost is realistic","OK")))</f>
        <v>OK</v>
      </c>
    </row>
    <row r="61" customFormat="false" ht="15" hidden="false" customHeight="false" outlineLevel="0" collapsed="false">
      <c r="A61" s="8" t="n">
        <v>60</v>
      </c>
      <c r="B61" s="8" t="s">
        <v>306</v>
      </c>
      <c r="C61" s="8" t="s">
        <v>307</v>
      </c>
      <c r="D61" s="8" t="s">
        <v>41</v>
      </c>
      <c r="E61" s="8" t="s">
        <v>298</v>
      </c>
      <c r="F61" s="8" t="s">
        <v>308</v>
      </c>
      <c r="G61" s="8" t="s">
        <v>44</v>
      </c>
      <c r="H61" s="8" t="s">
        <v>45</v>
      </c>
      <c r="I61" s="8" t="s">
        <v>99</v>
      </c>
      <c r="J61" s="8" t="s">
        <v>309</v>
      </c>
      <c r="K61" s="8" t="s">
        <v>262</v>
      </c>
      <c r="L61" s="9" t="n">
        <v>1.8</v>
      </c>
      <c r="M61" s="10" t="n">
        <v>8</v>
      </c>
      <c r="N61" s="11" t="n">
        <f aca="false">IFERROR(L61/M61,"")</f>
        <v>0.225</v>
      </c>
      <c r="O61" s="12" t="s">
        <v>48</v>
      </c>
      <c r="P61" s="12" t="str">
        <f aca="false">IF(N61="","",IF(N61&gt;0.32,"Reprice or resource",IF(N61&lt;0.2,"Check cost is realistic","OK")))</f>
        <v>OK</v>
      </c>
    </row>
    <row r="62" customFormat="false" ht="23.85" hidden="false" customHeight="false" outlineLevel="0" collapsed="false">
      <c r="A62" s="8" t="n">
        <v>61</v>
      </c>
      <c r="B62" s="8" t="s">
        <v>310</v>
      </c>
      <c r="C62" s="8" t="s">
        <v>311</v>
      </c>
      <c r="D62" s="8" t="s">
        <v>41</v>
      </c>
      <c r="E62" s="8" t="s">
        <v>298</v>
      </c>
      <c r="F62" s="8" t="s">
        <v>312</v>
      </c>
      <c r="G62" s="8" t="s">
        <v>44</v>
      </c>
      <c r="H62" s="8" t="s">
        <v>45</v>
      </c>
      <c r="I62" s="8" t="s">
        <v>99</v>
      </c>
      <c r="J62" s="8" t="s">
        <v>313</v>
      </c>
      <c r="K62" s="8" t="s">
        <v>117</v>
      </c>
      <c r="L62" s="9" t="n">
        <v>3.2</v>
      </c>
      <c r="M62" s="10" t="n">
        <v>13</v>
      </c>
      <c r="N62" s="11" t="n">
        <f aca="false">IFERROR(L62/M62,"")</f>
        <v>0.246153846153846</v>
      </c>
      <c r="O62" s="12" t="s">
        <v>48</v>
      </c>
      <c r="P62" s="12" t="str">
        <f aca="false">IF(N62="","",IF(N62&gt;0.32,"Reprice or resource",IF(N62&lt;0.2,"Check cost is realistic","OK")))</f>
        <v>OK</v>
      </c>
    </row>
    <row r="63" customFormat="false" ht="15" hidden="false" customHeight="false" outlineLevel="0" collapsed="false">
      <c r="A63" s="8" t="n">
        <v>62</v>
      </c>
      <c r="B63" s="8" t="s">
        <v>314</v>
      </c>
      <c r="C63" s="8" t="s">
        <v>315</v>
      </c>
      <c r="D63" s="8" t="s">
        <v>41</v>
      </c>
      <c r="E63" s="8" t="s">
        <v>298</v>
      </c>
      <c r="F63" s="8" t="s">
        <v>316</v>
      </c>
      <c r="G63" s="8" t="s">
        <v>44</v>
      </c>
      <c r="H63" s="8" t="s">
        <v>45</v>
      </c>
      <c r="I63" s="8" t="s">
        <v>99</v>
      </c>
      <c r="J63" s="8" t="s">
        <v>317</v>
      </c>
      <c r="K63" s="8" t="s">
        <v>270</v>
      </c>
      <c r="L63" s="9" t="n">
        <v>2.4</v>
      </c>
      <c r="M63" s="10" t="n">
        <v>10</v>
      </c>
      <c r="N63" s="11" t="n">
        <f aca="false">IFERROR(L63/M63,"")</f>
        <v>0.24</v>
      </c>
      <c r="O63" s="12" t="s">
        <v>48</v>
      </c>
      <c r="P63" s="12" t="str">
        <f aca="false">IF(N63="","",IF(N63&gt;0.32,"Reprice or resource",IF(N63&lt;0.2,"Check cost is realistic","OK")))</f>
        <v>OK</v>
      </c>
    </row>
    <row r="64" customFormat="false" ht="15" hidden="false" customHeight="false" outlineLevel="0" collapsed="false">
      <c r="A64" s="8" t="n">
        <v>63</v>
      </c>
      <c r="B64" s="8" t="s">
        <v>318</v>
      </c>
      <c r="C64" s="8" t="s">
        <v>319</v>
      </c>
      <c r="D64" s="8" t="s">
        <v>41</v>
      </c>
      <c r="E64" s="8" t="s">
        <v>298</v>
      </c>
      <c r="F64" s="8" t="s">
        <v>320</v>
      </c>
      <c r="G64" s="8" t="s">
        <v>44</v>
      </c>
      <c r="H64" s="8" t="s">
        <v>45</v>
      </c>
      <c r="I64" s="8" t="s">
        <v>45</v>
      </c>
      <c r="J64" s="8" t="s">
        <v>321</v>
      </c>
      <c r="K64" s="8" t="s">
        <v>305</v>
      </c>
      <c r="L64" s="9" t="n">
        <v>4.8</v>
      </c>
      <c r="M64" s="10" t="n">
        <v>17</v>
      </c>
      <c r="N64" s="11" t="n">
        <f aca="false">IFERROR(L64/M64,"")</f>
        <v>0.282352941176471</v>
      </c>
      <c r="O64" s="12" t="s">
        <v>48</v>
      </c>
      <c r="P64" s="12" t="str">
        <f aca="false">IF(N64="","",IF(N64&gt;0.32,"Reprice or resource",IF(N64&lt;0.2,"Check cost is realistic","OK")))</f>
        <v>OK</v>
      </c>
    </row>
    <row r="65" customFormat="false" ht="15" hidden="false" customHeight="false" outlineLevel="0" collapsed="false">
      <c r="A65" s="8" t="n">
        <v>64</v>
      </c>
      <c r="B65" s="8" t="s">
        <v>322</v>
      </c>
      <c r="C65" s="8" t="s">
        <v>323</v>
      </c>
      <c r="D65" s="8" t="s">
        <v>41</v>
      </c>
      <c r="E65" s="8" t="s">
        <v>298</v>
      </c>
      <c r="F65" s="8" t="s">
        <v>324</v>
      </c>
      <c r="G65" s="8" t="s">
        <v>87</v>
      </c>
      <c r="H65" s="8" t="s">
        <v>45</v>
      </c>
      <c r="I65" s="8" t="s">
        <v>45</v>
      </c>
      <c r="J65" s="8" t="s">
        <v>325</v>
      </c>
      <c r="K65" s="8" t="s">
        <v>94</v>
      </c>
      <c r="L65" s="9" t="n">
        <v>5.5</v>
      </c>
      <c r="M65" s="10" t="n">
        <v>20</v>
      </c>
      <c r="N65" s="11" t="n">
        <f aca="false">IFERROR(L65/M65,"")</f>
        <v>0.275</v>
      </c>
      <c r="O65" s="12" t="s">
        <v>48</v>
      </c>
      <c r="P65" s="12" t="str">
        <f aca="false">IF(N65="","",IF(N65&gt;0.32,"Reprice or resource",IF(N65&lt;0.2,"Check cost is realistic","OK")))</f>
        <v>OK</v>
      </c>
    </row>
    <row r="66" customFormat="false" ht="23.85" hidden="false" customHeight="false" outlineLevel="0" collapsed="false">
      <c r="A66" s="8" t="n">
        <v>65</v>
      </c>
      <c r="B66" s="8" t="s">
        <v>326</v>
      </c>
      <c r="C66" s="8" t="s">
        <v>327</v>
      </c>
      <c r="D66" s="8" t="s">
        <v>41</v>
      </c>
      <c r="E66" s="8" t="s">
        <v>298</v>
      </c>
      <c r="F66" s="8" t="s">
        <v>328</v>
      </c>
      <c r="G66" s="8" t="s">
        <v>44</v>
      </c>
      <c r="H66" s="8" t="s">
        <v>45</v>
      </c>
      <c r="I66" s="8" t="s">
        <v>99</v>
      </c>
      <c r="J66" s="8" t="s">
        <v>329</v>
      </c>
      <c r="K66" s="8" t="s">
        <v>94</v>
      </c>
      <c r="L66" s="9" t="n">
        <v>2.6</v>
      </c>
      <c r="M66" s="10" t="n">
        <v>11</v>
      </c>
      <c r="N66" s="11" t="n">
        <f aca="false">IFERROR(L66/M66,"")</f>
        <v>0.236363636363636</v>
      </c>
      <c r="O66" s="12" t="s">
        <v>48</v>
      </c>
      <c r="P66" s="12" t="str">
        <f aca="false">IF(N66="","",IF(N66&gt;0.32,"Reprice or resource",IF(N66&lt;0.2,"Check cost is realistic","OK")))</f>
        <v>OK</v>
      </c>
    </row>
    <row r="67" customFormat="false" ht="15" hidden="false" customHeight="false" outlineLevel="0" collapsed="false">
      <c r="A67" s="8" t="n">
        <v>66</v>
      </c>
      <c r="B67" s="8" t="s">
        <v>330</v>
      </c>
      <c r="C67" s="8" t="s">
        <v>331</v>
      </c>
      <c r="D67" s="8" t="s">
        <v>130</v>
      </c>
      <c r="E67" s="8" t="s">
        <v>298</v>
      </c>
      <c r="F67" s="8" t="s">
        <v>332</v>
      </c>
      <c r="G67" s="8" t="s">
        <v>44</v>
      </c>
      <c r="H67" s="8" t="s">
        <v>45</v>
      </c>
      <c r="I67" s="8" t="s">
        <v>99</v>
      </c>
      <c r="J67" s="8" t="s">
        <v>333</v>
      </c>
      <c r="K67" s="8" t="s">
        <v>270</v>
      </c>
      <c r="L67" s="9" t="n">
        <v>1.8</v>
      </c>
      <c r="M67" s="10" t="n">
        <v>8</v>
      </c>
      <c r="N67" s="11" t="n">
        <f aca="false">IFERROR(L67/M67,"")</f>
        <v>0.225</v>
      </c>
      <c r="O67" s="12" t="s">
        <v>48</v>
      </c>
      <c r="P67" s="12" t="str">
        <f aca="false">IF(N67="","",IF(N67&gt;0.32,"Reprice or resource",IF(N67&lt;0.2,"Check cost is realistic","OK")))</f>
        <v>OK</v>
      </c>
    </row>
    <row r="68" customFormat="false" ht="23.85" hidden="false" customHeight="false" outlineLevel="0" collapsed="false">
      <c r="A68" s="8" t="n">
        <v>67</v>
      </c>
      <c r="B68" s="8" t="s">
        <v>334</v>
      </c>
      <c r="C68" s="8" t="s">
        <v>335</v>
      </c>
      <c r="D68" s="8" t="s">
        <v>41</v>
      </c>
      <c r="E68" s="8" t="s">
        <v>298</v>
      </c>
      <c r="F68" s="8" t="s">
        <v>336</v>
      </c>
      <c r="G68" s="8" t="s">
        <v>179</v>
      </c>
      <c r="H68" s="8" t="s">
        <v>45</v>
      </c>
      <c r="I68" s="8" t="s">
        <v>45</v>
      </c>
      <c r="J68" s="8" t="s">
        <v>337</v>
      </c>
      <c r="K68" s="8" t="s">
        <v>94</v>
      </c>
      <c r="L68" s="9" t="n">
        <v>5</v>
      </c>
      <c r="M68" s="10" t="n">
        <v>18</v>
      </c>
      <c r="N68" s="11" t="n">
        <f aca="false">IFERROR(L68/M68,"")</f>
        <v>0.277777777777778</v>
      </c>
      <c r="O68" s="12" t="s">
        <v>48</v>
      </c>
      <c r="P68" s="12" t="str">
        <f aca="false">IF(N68="","",IF(N68&gt;0.32,"Reprice or resource",IF(N68&lt;0.2,"Check cost is realistic","OK")))</f>
        <v>OK</v>
      </c>
    </row>
    <row r="69" customFormat="false" ht="15" hidden="false" customHeight="false" outlineLevel="0" collapsed="false">
      <c r="A69" s="8" t="n">
        <v>68</v>
      </c>
      <c r="B69" s="8" t="s">
        <v>338</v>
      </c>
      <c r="C69" s="8" t="s">
        <v>339</v>
      </c>
      <c r="D69" s="8" t="s">
        <v>41</v>
      </c>
      <c r="E69" s="8" t="s">
        <v>340</v>
      </c>
      <c r="F69" s="8" t="s">
        <v>341</v>
      </c>
      <c r="G69" s="8" t="s">
        <v>44</v>
      </c>
      <c r="H69" s="8" t="s">
        <v>45</v>
      </c>
      <c r="I69" s="8" t="s">
        <v>45</v>
      </c>
      <c r="J69" s="8" t="s">
        <v>342</v>
      </c>
      <c r="K69" s="8" t="s">
        <v>58</v>
      </c>
      <c r="L69" s="9" t="n">
        <v>14</v>
      </c>
      <c r="M69" s="10" t="n">
        <v>46</v>
      </c>
      <c r="N69" s="11" t="n">
        <f aca="false">IFERROR(L69/M69,"")</f>
        <v>0.304347826086957</v>
      </c>
      <c r="O69" s="12" t="s">
        <v>48</v>
      </c>
      <c r="P69" s="12" t="str">
        <f aca="false">IF(N69="","",IF(N69&gt;0.32,"Reprice or resource",IF(N69&lt;0.2,"Check cost is realistic","OK")))</f>
        <v>OK</v>
      </c>
    </row>
    <row r="70" customFormat="false" ht="15" hidden="false" customHeight="false" outlineLevel="0" collapsed="false">
      <c r="A70" s="8" t="n">
        <v>69</v>
      </c>
      <c r="B70" s="8" t="s">
        <v>343</v>
      </c>
      <c r="C70" s="8" t="s">
        <v>344</v>
      </c>
      <c r="D70" s="8" t="s">
        <v>41</v>
      </c>
      <c r="E70" s="8" t="s">
        <v>340</v>
      </c>
      <c r="F70" s="8" t="s">
        <v>345</v>
      </c>
      <c r="G70" s="8" t="s">
        <v>44</v>
      </c>
      <c r="H70" s="8" t="s">
        <v>45</v>
      </c>
      <c r="I70" s="8" t="s">
        <v>45</v>
      </c>
      <c r="J70" s="8" t="s">
        <v>346</v>
      </c>
      <c r="K70" s="8" t="s">
        <v>347</v>
      </c>
      <c r="L70" s="9" t="n">
        <v>12</v>
      </c>
      <c r="M70" s="10" t="n">
        <v>42</v>
      </c>
      <c r="N70" s="11" t="n">
        <f aca="false">IFERROR(L70/M70,"")</f>
        <v>0.285714285714286</v>
      </c>
      <c r="O70" s="12" t="s">
        <v>48</v>
      </c>
      <c r="P70" s="12" t="str">
        <f aca="false">IF(N70="","",IF(N70&gt;0.32,"Reprice or resource",IF(N70&lt;0.2,"Check cost is realistic","OK")))</f>
        <v>OK</v>
      </c>
    </row>
    <row r="71" customFormat="false" ht="15" hidden="false" customHeight="false" outlineLevel="0" collapsed="false">
      <c r="A71" s="8" t="n">
        <v>70</v>
      </c>
      <c r="B71" s="8" t="s">
        <v>348</v>
      </c>
      <c r="C71" s="8" t="s">
        <v>349</v>
      </c>
      <c r="D71" s="8" t="s">
        <v>130</v>
      </c>
      <c r="E71" s="8" t="s">
        <v>340</v>
      </c>
      <c r="F71" s="8" t="s">
        <v>350</v>
      </c>
      <c r="G71" s="8" t="s">
        <v>44</v>
      </c>
      <c r="H71" s="8" t="s">
        <v>45</v>
      </c>
      <c r="I71" s="8" t="s">
        <v>45</v>
      </c>
      <c r="J71" s="8" t="s">
        <v>351</v>
      </c>
      <c r="K71" s="8" t="s">
        <v>262</v>
      </c>
      <c r="L71" s="9" t="n">
        <v>8</v>
      </c>
      <c r="M71" s="10" t="n">
        <v>32</v>
      </c>
      <c r="N71" s="11" t="n">
        <f aca="false">IFERROR(L71/M71,"")</f>
        <v>0.25</v>
      </c>
      <c r="O71" s="12" t="s">
        <v>48</v>
      </c>
      <c r="P71" s="12" t="str">
        <f aca="false">IF(N71="","",IF(N71&gt;0.32,"Reprice or resource",IF(N71&lt;0.2,"Check cost is realistic","OK")))</f>
        <v>OK</v>
      </c>
    </row>
    <row r="72" customFormat="false" ht="15" hidden="false" customHeight="false" outlineLevel="0" collapsed="false">
      <c r="A72" s="8" t="n">
        <v>71</v>
      </c>
      <c r="B72" s="8" t="s">
        <v>352</v>
      </c>
      <c r="C72" s="8" t="s">
        <v>353</v>
      </c>
      <c r="D72" s="8" t="s">
        <v>130</v>
      </c>
      <c r="E72" s="8" t="s">
        <v>340</v>
      </c>
      <c r="F72" s="8" t="s">
        <v>354</v>
      </c>
      <c r="G72" s="8" t="s">
        <v>44</v>
      </c>
      <c r="H72" s="8" t="s">
        <v>45</v>
      </c>
      <c r="I72" s="8" t="s">
        <v>45</v>
      </c>
      <c r="J72" s="8" t="s">
        <v>355</v>
      </c>
      <c r="K72" s="8" t="s">
        <v>356</v>
      </c>
      <c r="L72" s="9" t="n">
        <v>11</v>
      </c>
      <c r="M72" s="10" t="n">
        <v>38</v>
      </c>
      <c r="N72" s="11" t="n">
        <f aca="false">IFERROR(L72/M72,"")</f>
        <v>0.289473684210526</v>
      </c>
      <c r="O72" s="12" t="s">
        <v>48</v>
      </c>
      <c r="P72" s="12" t="str">
        <f aca="false">IF(N72="","",IF(N72&gt;0.32,"Reprice or resource",IF(N72&lt;0.2,"Check cost is realistic","OK")))</f>
        <v>OK</v>
      </c>
    </row>
    <row r="73" customFormat="false" ht="15" hidden="false" customHeight="false" outlineLevel="0" collapsed="false">
      <c r="A73" s="8" t="n">
        <v>72</v>
      </c>
      <c r="B73" s="8" t="s">
        <v>357</v>
      </c>
      <c r="C73" s="8" t="s">
        <v>75</v>
      </c>
      <c r="D73" s="8" t="s">
        <v>41</v>
      </c>
      <c r="E73" s="8" t="s">
        <v>340</v>
      </c>
      <c r="F73" s="8" t="s">
        <v>358</v>
      </c>
      <c r="G73" s="8" t="s">
        <v>44</v>
      </c>
      <c r="H73" s="8" t="s">
        <v>45</v>
      </c>
      <c r="I73" s="8" t="s">
        <v>45</v>
      </c>
      <c r="J73" s="8" t="s">
        <v>359</v>
      </c>
      <c r="K73" s="8" t="s">
        <v>78</v>
      </c>
      <c r="L73" s="9" t="n">
        <v>10</v>
      </c>
      <c r="M73" s="10" t="n">
        <v>34</v>
      </c>
      <c r="N73" s="11" t="n">
        <f aca="false">IFERROR(L73/M73,"")</f>
        <v>0.294117647058824</v>
      </c>
      <c r="O73" s="12" t="s">
        <v>48</v>
      </c>
      <c r="P73" s="12" t="str">
        <f aca="false">IF(N73="","",IF(N73&gt;0.32,"Reprice or resource",IF(N73&lt;0.2,"Check cost is realistic","OK")))</f>
        <v>OK</v>
      </c>
    </row>
    <row r="74" customFormat="false" ht="23.85" hidden="false" customHeight="false" outlineLevel="0" collapsed="false">
      <c r="A74" s="8" t="n">
        <v>73</v>
      </c>
      <c r="B74" s="8" t="s">
        <v>360</v>
      </c>
      <c r="C74" s="8" t="s">
        <v>361</v>
      </c>
      <c r="D74" s="8" t="s">
        <v>149</v>
      </c>
      <c r="E74" s="8" t="s">
        <v>340</v>
      </c>
      <c r="F74" s="8" t="s">
        <v>362</v>
      </c>
      <c r="G74" s="8" t="s">
        <v>44</v>
      </c>
      <c r="H74" s="8" t="s">
        <v>45</v>
      </c>
      <c r="I74" s="8" t="s">
        <v>45</v>
      </c>
      <c r="J74" s="8" t="s">
        <v>363</v>
      </c>
      <c r="K74" s="8" t="s">
        <v>146</v>
      </c>
      <c r="L74" s="9" t="n">
        <v>11</v>
      </c>
      <c r="M74" s="10" t="n">
        <v>38</v>
      </c>
      <c r="N74" s="11" t="n">
        <f aca="false">IFERROR(L74/M74,"")</f>
        <v>0.289473684210526</v>
      </c>
      <c r="O74" s="12" t="s">
        <v>48</v>
      </c>
      <c r="P74" s="12" t="str">
        <f aca="false">IF(N74="","",IF(N74&gt;0.32,"Reprice or resource",IF(N74&lt;0.2,"Check cost is realistic","OK")))</f>
        <v>OK</v>
      </c>
    </row>
    <row r="75" customFormat="false" ht="23.85" hidden="false" customHeight="false" outlineLevel="0" collapsed="false">
      <c r="A75" s="8" t="n">
        <v>74</v>
      </c>
      <c r="B75" s="8" t="s">
        <v>364</v>
      </c>
      <c r="C75" s="8" t="s">
        <v>365</v>
      </c>
      <c r="D75" s="8" t="s">
        <v>97</v>
      </c>
      <c r="E75" s="8" t="s">
        <v>340</v>
      </c>
      <c r="F75" s="8" t="s">
        <v>366</v>
      </c>
      <c r="G75" s="8" t="s">
        <v>44</v>
      </c>
      <c r="H75" s="8" t="s">
        <v>45</v>
      </c>
      <c r="I75" s="8" t="s">
        <v>45</v>
      </c>
      <c r="J75" s="8" t="s">
        <v>367</v>
      </c>
      <c r="K75" s="8" t="s">
        <v>161</v>
      </c>
      <c r="L75" s="9" t="n">
        <v>12</v>
      </c>
      <c r="M75" s="10" t="n">
        <v>40</v>
      </c>
      <c r="N75" s="11" t="n">
        <f aca="false">IFERROR(L75/M75,"")</f>
        <v>0.3</v>
      </c>
      <c r="O75" s="12" t="s">
        <v>48</v>
      </c>
      <c r="P75" s="12" t="str">
        <f aca="false">IF(N75="","",IF(N75&gt;0.32,"Reprice or resource",IF(N75&lt;0.2,"Check cost is realistic","OK")))</f>
        <v>OK</v>
      </c>
    </row>
    <row r="76" customFormat="false" ht="23.85" hidden="false" customHeight="false" outlineLevel="0" collapsed="false">
      <c r="A76" s="8" t="n">
        <v>75</v>
      </c>
      <c r="B76" s="8" t="s">
        <v>368</v>
      </c>
      <c r="C76" s="8" t="s">
        <v>369</v>
      </c>
      <c r="D76" s="8" t="s">
        <v>130</v>
      </c>
      <c r="E76" s="8" t="s">
        <v>340</v>
      </c>
      <c r="F76" s="8" t="s">
        <v>370</v>
      </c>
      <c r="G76" s="8" t="s">
        <v>44</v>
      </c>
      <c r="H76" s="8" t="s">
        <v>45</v>
      </c>
      <c r="I76" s="8" t="s">
        <v>45</v>
      </c>
      <c r="J76" s="8" t="s">
        <v>371</v>
      </c>
      <c r="K76" s="8" t="s">
        <v>117</v>
      </c>
      <c r="L76" s="9" t="n">
        <v>6</v>
      </c>
      <c r="M76" s="10" t="n">
        <v>26</v>
      </c>
      <c r="N76" s="11" t="n">
        <f aca="false">IFERROR(L76/M76,"")</f>
        <v>0.230769230769231</v>
      </c>
      <c r="O76" s="12" t="s">
        <v>48</v>
      </c>
      <c r="P76" s="12" t="str">
        <f aca="false">IF(N76="","",IF(N76&gt;0.32,"Reprice or resource",IF(N76&lt;0.2,"Check cost is realistic","OK")))</f>
        <v>OK</v>
      </c>
    </row>
    <row r="77" customFormat="false" ht="23.85" hidden="false" customHeight="false" outlineLevel="0" collapsed="false">
      <c r="A77" s="8" t="n">
        <v>76</v>
      </c>
      <c r="B77" s="8" t="s">
        <v>372</v>
      </c>
      <c r="C77" s="8" t="s">
        <v>373</v>
      </c>
      <c r="D77" s="8" t="s">
        <v>41</v>
      </c>
      <c r="E77" s="8" t="s">
        <v>374</v>
      </c>
      <c r="F77" s="8" t="s">
        <v>375</v>
      </c>
      <c r="G77" s="8" t="s">
        <v>44</v>
      </c>
      <c r="H77" s="8" t="s">
        <v>45</v>
      </c>
      <c r="I77" s="8" t="s">
        <v>99</v>
      </c>
      <c r="J77" s="8" t="s">
        <v>376</v>
      </c>
      <c r="K77" s="8" t="s">
        <v>377</v>
      </c>
      <c r="L77" s="9" t="n">
        <v>1.8</v>
      </c>
      <c r="M77" s="10" t="n">
        <v>8</v>
      </c>
      <c r="N77" s="11" t="n">
        <f aca="false">IFERROR(L77/M77,"")</f>
        <v>0.225</v>
      </c>
      <c r="O77" s="12" t="s">
        <v>48</v>
      </c>
      <c r="P77" s="12" t="str">
        <f aca="false">IF(N77="","",IF(N77&gt;0.32,"Reprice or resource",IF(N77&lt;0.2,"Check cost is realistic","OK")))</f>
        <v>OK</v>
      </c>
    </row>
    <row r="78" customFormat="false" ht="23.85" hidden="false" customHeight="false" outlineLevel="0" collapsed="false">
      <c r="A78" s="8" t="n">
        <v>77</v>
      </c>
      <c r="B78" s="8" t="s">
        <v>378</v>
      </c>
      <c r="C78" s="8" t="s">
        <v>379</v>
      </c>
      <c r="D78" s="8" t="s">
        <v>41</v>
      </c>
      <c r="E78" s="8" t="s">
        <v>374</v>
      </c>
      <c r="F78" s="8" t="s">
        <v>380</v>
      </c>
      <c r="G78" s="8" t="s">
        <v>44</v>
      </c>
      <c r="H78" s="8" t="s">
        <v>45</v>
      </c>
      <c r="I78" s="8" t="s">
        <v>99</v>
      </c>
      <c r="J78" s="8" t="s">
        <v>381</v>
      </c>
      <c r="K78" s="8" t="s">
        <v>382</v>
      </c>
      <c r="L78" s="9" t="n">
        <v>2.6</v>
      </c>
      <c r="M78" s="10" t="n">
        <v>10</v>
      </c>
      <c r="N78" s="11" t="n">
        <f aca="false">IFERROR(L78/M78,"")</f>
        <v>0.26</v>
      </c>
      <c r="O78" s="12" t="s">
        <v>48</v>
      </c>
      <c r="P78" s="12" t="str">
        <f aca="false">IF(N78="","",IF(N78&gt;0.32,"Reprice or resource",IF(N78&lt;0.2,"Check cost is realistic","OK")))</f>
        <v>OK</v>
      </c>
    </row>
    <row r="79" customFormat="false" ht="15" hidden="false" customHeight="false" outlineLevel="0" collapsed="false">
      <c r="A79" s="8" t="n">
        <v>78</v>
      </c>
      <c r="B79" s="8" t="s">
        <v>383</v>
      </c>
      <c r="C79" s="8" t="s">
        <v>384</v>
      </c>
      <c r="D79" s="8" t="s">
        <v>41</v>
      </c>
      <c r="E79" s="8" t="s">
        <v>374</v>
      </c>
      <c r="F79" s="8" t="s">
        <v>385</v>
      </c>
      <c r="G79" s="8" t="s">
        <v>44</v>
      </c>
      <c r="H79" s="8" t="s">
        <v>99</v>
      </c>
      <c r="I79" s="8" t="s">
        <v>99</v>
      </c>
      <c r="J79" s="8" t="s">
        <v>386</v>
      </c>
      <c r="K79" s="8" t="s">
        <v>270</v>
      </c>
      <c r="L79" s="9" t="n">
        <v>2</v>
      </c>
      <c r="M79" s="10" t="n">
        <v>8</v>
      </c>
      <c r="N79" s="11" t="n">
        <f aca="false">IFERROR(L79/M79,"")</f>
        <v>0.25</v>
      </c>
      <c r="O79" s="12" t="s">
        <v>48</v>
      </c>
      <c r="P79" s="12" t="str">
        <f aca="false">IF(N79="","",IF(N79&gt;0.32,"Reprice or resource",IF(N79&lt;0.2,"Check cost is realistic","OK")))</f>
        <v>OK</v>
      </c>
    </row>
    <row r="80" customFormat="false" ht="35.05" hidden="false" customHeight="false" outlineLevel="0" collapsed="false">
      <c r="A80" s="8" t="n">
        <v>79</v>
      </c>
      <c r="B80" s="8" t="s">
        <v>387</v>
      </c>
      <c r="C80" s="8" t="s">
        <v>388</v>
      </c>
      <c r="D80" s="8" t="s">
        <v>41</v>
      </c>
      <c r="E80" s="8" t="s">
        <v>374</v>
      </c>
      <c r="F80" s="8" t="s">
        <v>389</v>
      </c>
      <c r="G80" s="8" t="s">
        <v>44</v>
      </c>
      <c r="H80" s="8" t="s">
        <v>45</v>
      </c>
      <c r="I80" s="8" t="s">
        <v>99</v>
      </c>
      <c r="J80" s="8" t="s">
        <v>390</v>
      </c>
      <c r="K80" s="8" t="s">
        <v>382</v>
      </c>
      <c r="L80" s="9" t="n">
        <v>1.6</v>
      </c>
      <c r="M80" s="10" t="n">
        <v>9</v>
      </c>
      <c r="N80" s="11" t="n">
        <f aca="false">IFERROR(L80/M80,"")</f>
        <v>0.177777777777778</v>
      </c>
      <c r="O80" s="12" t="s">
        <v>48</v>
      </c>
      <c r="P80" s="12" t="str">
        <f aca="false">IF(N80="","",IF(N80&gt;0.32,"Reprice or resource",IF(N80&lt;0.2,"Check cost is realistic","OK")))</f>
        <v>Check cost is realistic</v>
      </c>
    </row>
    <row r="81" customFormat="false" ht="23.85" hidden="false" customHeight="false" outlineLevel="0" collapsed="false">
      <c r="A81" s="8" t="n">
        <v>80</v>
      </c>
      <c r="B81" s="8" t="s">
        <v>391</v>
      </c>
      <c r="C81" s="8" t="s">
        <v>392</v>
      </c>
      <c r="D81" s="8" t="s">
        <v>41</v>
      </c>
      <c r="E81" s="8" t="s">
        <v>374</v>
      </c>
      <c r="F81" s="8" t="s">
        <v>393</v>
      </c>
      <c r="G81" s="8" t="s">
        <v>44</v>
      </c>
      <c r="H81" s="8" t="s">
        <v>45</v>
      </c>
      <c r="I81" s="8" t="s">
        <v>99</v>
      </c>
      <c r="J81" s="8" t="s">
        <v>394</v>
      </c>
      <c r="K81" s="8" t="s">
        <v>117</v>
      </c>
      <c r="L81" s="9" t="n">
        <v>1.4</v>
      </c>
      <c r="M81" s="10" t="n">
        <v>7</v>
      </c>
      <c r="N81" s="11" t="n">
        <f aca="false">IFERROR(L81/M81,"")</f>
        <v>0.2</v>
      </c>
      <c r="O81" s="12" t="s">
        <v>48</v>
      </c>
      <c r="P81" s="12" t="str">
        <f aca="false">IF(N81="","",IF(N81&gt;0.32,"Reprice or resource",IF(N81&lt;0.2,"Check cost is realistic","OK")))</f>
        <v>OK</v>
      </c>
    </row>
    <row r="82" customFormat="false" ht="23.85" hidden="false" customHeight="false" outlineLevel="0" collapsed="false">
      <c r="A82" s="8" t="n">
        <v>81</v>
      </c>
      <c r="B82" s="8" t="s">
        <v>395</v>
      </c>
      <c r="C82" s="8" t="s">
        <v>392</v>
      </c>
      <c r="D82" s="8" t="s">
        <v>41</v>
      </c>
      <c r="E82" s="8" t="s">
        <v>374</v>
      </c>
      <c r="F82" s="8" t="s">
        <v>396</v>
      </c>
      <c r="G82" s="8" t="s">
        <v>44</v>
      </c>
      <c r="H82" s="8" t="s">
        <v>45</v>
      </c>
      <c r="I82" s="8" t="s">
        <v>99</v>
      </c>
      <c r="J82" s="8" t="s">
        <v>397</v>
      </c>
      <c r="K82" s="8" t="s">
        <v>398</v>
      </c>
      <c r="L82" s="9" t="n">
        <v>1.6</v>
      </c>
      <c r="M82" s="10" t="n">
        <v>7</v>
      </c>
      <c r="N82" s="11" t="n">
        <f aca="false">IFERROR(L82/M82,"")</f>
        <v>0.228571428571429</v>
      </c>
      <c r="O82" s="12" t="s">
        <v>48</v>
      </c>
      <c r="P82" s="12" t="str">
        <f aca="false">IF(N82="","",IF(N82&gt;0.32,"Reprice or resource",IF(N82&lt;0.2,"Check cost is realistic","OK")))</f>
        <v>OK</v>
      </c>
    </row>
    <row r="83" customFormat="false" ht="23.85" hidden="false" customHeight="false" outlineLevel="0" collapsed="false">
      <c r="A83" s="8" t="n">
        <v>82</v>
      </c>
      <c r="B83" s="8" t="s">
        <v>399</v>
      </c>
      <c r="C83" s="8" t="s">
        <v>400</v>
      </c>
      <c r="D83" s="8" t="s">
        <v>41</v>
      </c>
      <c r="E83" s="8" t="s">
        <v>374</v>
      </c>
      <c r="F83" s="8" t="s">
        <v>401</v>
      </c>
      <c r="G83" s="8" t="s">
        <v>44</v>
      </c>
      <c r="H83" s="8" t="s">
        <v>45</v>
      </c>
      <c r="I83" s="8" t="s">
        <v>99</v>
      </c>
      <c r="J83" s="8" t="s">
        <v>402</v>
      </c>
      <c r="K83" s="8" t="s">
        <v>270</v>
      </c>
      <c r="L83" s="9" t="n">
        <v>1.8</v>
      </c>
      <c r="M83" s="10" t="n">
        <v>8</v>
      </c>
      <c r="N83" s="11" t="n">
        <f aca="false">IFERROR(L83/M83,"")</f>
        <v>0.225</v>
      </c>
      <c r="O83" s="12" t="s">
        <v>48</v>
      </c>
      <c r="P83" s="12" t="str">
        <f aca="false">IF(N83="","",IF(N83&gt;0.32,"Reprice or resource",IF(N83&lt;0.2,"Check cost is realistic","OK")))</f>
        <v>OK</v>
      </c>
    </row>
    <row r="84" customFormat="false" ht="23.85" hidden="false" customHeight="false" outlineLevel="0" collapsed="false">
      <c r="A84" s="8" t="n">
        <v>83</v>
      </c>
      <c r="B84" s="8" t="s">
        <v>403</v>
      </c>
      <c r="C84" s="8" t="s">
        <v>404</v>
      </c>
      <c r="D84" s="8" t="s">
        <v>41</v>
      </c>
      <c r="E84" s="8" t="s">
        <v>374</v>
      </c>
      <c r="F84" s="8" t="s">
        <v>405</v>
      </c>
      <c r="G84" s="8" t="s">
        <v>44</v>
      </c>
      <c r="H84" s="8" t="s">
        <v>99</v>
      </c>
      <c r="I84" s="8" t="s">
        <v>99</v>
      </c>
      <c r="J84" s="8" t="s">
        <v>406</v>
      </c>
      <c r="K84" s="8" t="s">
        <v>94</v>
      </c>
      <c r="L84" s="9" t="n">
        <v>3.6</v>
      </c>
      <c r="M84" s="10" t="n">
        <v>14</v>
      </c>
      <c r="N84" s="11" t="n">
        <f aca="false">IFERROR(L84/M84,"")</f>
        <v>0.257142857142857</v>
      </c>
      <c r="O84" s="12" t="s">
        <v>48</v>
      </c>
      <c r="P84" s="12" t="str">
        <f aca="false">IF(N84="","",IF(N84&gt;0.32,"Reprice or resource",IF(N84&lt;0.2,"Check cost is realistic","OK")))</f>
        <v>OK</v>
      </c>
    </row>
    <row r="85" customFormat="false" ht="15" hidden="false" customHeight="false" outlineLevel="0" collapsed="false">
      <c r="A85" s="8" t="n">
        <v>84</v>
      </c>
      <c r="B85" s="8" t="s">
        <v>407</v>
      </c>
      <c r="C85" s="8" t="s">
        <v>408</v>
      </c>
      <c r="D85" s="8" t="s">
        <v>41</v>
      </c>
      <c r="E85" s="8" t="s">
        <v>374</v>
      </c>
      <c r="F85" s="8" t="s">
        <v>409</v>
      </c>
      <c r="G85" s="8" t="s">
        <v>44</v>
      </c>
      <c r="H85" s="8" t="s">
        <v>45</v>
      </c>
      <c r="I85" s="8" t="s">
        <v>99</v>
      </c>
      <c r="J85" s="8" t="s">
        <v>410</v>
      </c>
      <c r="K85" s="8" t="s">
        <v>94</v>
      </c>
      <c r="L85" s="9" t="n">
        <v>2.4</v>
      </c>
      <c r="M85" s="10" t="n">
        <v>10</v>
      </c>
      <c r="N85" s="11" t="n">
        <f aca="false">IFERROR(L85/M85,"")</f>
        <v>0.24</v>
      </c>
      <c r="O85" s="12" t="s">
        <v>48</v>
      </c>
      <c r="P85" s="12" t="str">
        <f aca="false">IF(N85="","",IF(N85&gt;0.32,"Reprice or resource",IF(N85&lt;0.2,"Check cost is realistic","OK")))</f>
        <v>OK</v>
      </c>
    </row>
    <row r="86" customFormat="false" ht="15" hidden="false" customHeight="false" outlineLevel="0" collapsed="false">
      <c r="A86" s="8" t="n">
        <v>85</v>
      </c>
      <c r="B86" s="8" t="s">
        <v>411</v>
      </c>
      <c r="C86" s="8" t="s">
        <v>412</v>
      </c>
      <c r="D86" s="8" t="s">
        <v>41</v>
      </c>
      <c r="E86" s="8" t="s">
        <v>374</v>
      </c>
      <c r="F86" s="8" t="s">
        <v>413</v>
      </c>
      <c r="G86" s="8" t="s">
        <v>44</v>
      </c>
      <c r="H86" s="8" t="s">
        <v>45</v>
      </c>
      <c r="I86" s="8" t="s">
        <v>99</v>
      </c>
      <c r="J86" s="8" t="s">
        <v>414</v>
      </c>
      <c r="K86" s="8" t="s">
        <v>94</v>
      </c>
      <c r="L86" s="9" t="n">
        <v>2.6</v>
      </c>
      <c r="M86" s="10" t="n">
        <v>10</v>
      </c>
      <c r="N86" s="11" t="n">
        <f aca="false">IFERROR(L86/M86,"")</f>
        <v>0.26</v>
      </c>
      <c r="O86" s="12" t="s">
        <v>48</v>
      </c>
      <c r="P86" s="12" t="str">
        <f aca="false">IF(N86="","",IF(N86&gt;0.32,"Reprice or resource",IF(N86&lt;0.2,"Check cost is realistic","OK")))</f>
        <v>OK</v>
      </c>
    </row>
    <row r="87" customFormat="false" ht="23.85" hidden="false" customHeight="false" outlineLevel="0" collapsed="false">
      <c r="A87" s="8" t="n">
        <v>86</v>
      </c>
      <c r="B87" s="8" t="s">
        <v>415</v>
      </c>
      <c r="C87" s="8" t="s">
        <v>416</v>
      </c>
      <c r="D87" s="8" t="s">
        <v>41</v>
      </c>
      <c r="E87" s="8" t="s">
        <v>374</v>
      </c>
      <c r="F87" s="8" t="s">
        <v>417</v>
      </c>
      <c r="G87" s="8" t="s">
        <v>44</v>
      </c>
      <c r="H87" s="8" t="s">
        <v>99</v>
      </c>
      <c r="I87" s="8" t="s">
        <v>99</v>
      </c>
      <c r="J87" s="8" t="s">
        <v>418</v>
      </c>
      <c r="K87" s="8" t="s">
        <v>117</v>
      </c>
      <c r="L87" s="9" t="n">
        <v>4</v>
      </c>
      <c r="M87" s="10" t="n">
        <v>16</v>
      </c>
      <c r="N87" s="11" t="n">
        <f aca="false">IFERROR(L87/M87,"")</f>
        <v>0.25</v>
      </c>
      <c r="O87" s="12" t="s">
        <v>48</v>
      </c>
      <c r="P87" s="12" t="str">
        <f aca="false">IF(N87="","",IF(N87&gt;0.32,"Reprice or resource",IF(N87&lt;0.2,"Check cost is realistic","OK")))</f>
        <v>OK</v>
      </c>
    </row>
    <row r="88" customFormat="false" ht="23.85" hidden="false" customHeight="false" outlineLevel="0" collapsed="false">
      <c r="A88" s="8" t="n">
        <v>87</v>
      </c>
      <c r="B88" s="8" t="s">
        <v>419</v>
      </c>
      <c r="C88" s="8" t="s">
        <v>420</v>
      </c>
      <c r="D88" s="8" t="s">
        <v>41</v>
      </c>
      <c r="E88" s="8" t="s">
        <v>421</v>
      </c>
      <c r="F88" s="8" t="s">
        <v>422</v>
      </c>
      <c r="G88" s="8" t="s">
        <v>179</v>
      </c>
      <c r="H88" s="8" t="s">
        <v>45</v>
      </c>
      <c r="I88" s="8" t="s">
        <v>99</v>
      </c>
      <c r="J88" s="8" t="s">
        <v>423</v>
      </c>
      <c r="K88" s="8" t="s">
        <v>117</v>
      </c>
      <c r="L88" s="9" t="n">
        <v>3.4</v>
      </c>
      <c r="M88" s="10" t="n">
        <v>14</v>
      </c>
      <c r="N88" s="11" t="n">
        <f aca="false">IFERROR(L88/M88,"")</f>
        <v>0.242857142857143</v>
      </c>
      <c r="O88" s="12" t="s">
        <v>48</v>
      </c>
      <c r="P88" s="12" t="str">
        <f aca="false">IF(N88="","",IF(N88&gt;0.32,"Reprice or resource",IF(N88&lt;0.2,"Check cost is realistic","OK")))</f>
        <v>OK</v>
      </c>
    </row>
    <row r="89" customFormat="false" ht="15" hidden="false" customHeight="false" outlineLevel="0" collapsed="false">
      <c r="A89" s="8" t="n">
        <v>88</v>
      </c>
      <c r="B89" s="8" t="s">
        <v>424</v>
      </c>
      <c r="C89" s="8" t="s">
        <v>425</v>
      </c>
      <c r="D89" s="8" t="s">
        <v>41</v>
      </c>
      <c r="E89" s="8" t="s">
        <v>374</v>
      </c>
      <c r="F89" s="8" t="s">
        <v>426</v>
      </c>
      <c r="G89" s="8" t="s">
        <v>44</v>
      </c>
      <c r="H89" s="8" t="s">
        <v>99</v>
      </c>
      <c r="I89" s="8" t="s">
        <v>99</v>
      </c>
      <c r="J89" s="8" t="s">
        <v>427</v>
      </c>
      <c r="K89" s="8" t="s">
        <v>262</v>
      </c>
      <c r="L89" s="9" t="n">
        <v>1.8</v>
      </c>
      <c r="M89" s="10" t="n">
        <v>8</v>
      </c>
      <c r="N89" s="11" t="n">
        <f aca="false">IFERROR(L89/M89,"")</f>
        <v>0.225</v>
      </c>
      <c r="O89" s="12" t="s">
        <v>48</v>
      </c>
      <c r="P89" s="12" t="str">
        <f aca="false">IF(N89="","",IF(N89&gt;0.32,"Reprice or resource",IF(N89&lt;0.2,"Check cost is realistic","OK")))</f>
        <v>OK</v>
      </c>
    </row>
    <row r="90" customFormat="false" ht="15" hidden="false" customHeight="false" outlineLevel="0" collapsed="false">
      <c r="A90" s="8" t="n">
        <v>89</v>
      </c>
      <c r="B90" s="8" t="s">
        <v>428</v>
      </c>
      <c r="C90" s="8" t="s">
        <v>429</v>
      </c>
      <c r="D90" s="8" t="s">
        <v>41</v>
      </c>
      <c r="E90" s="8" t="s">
        <v>374</v>
      </c>
      <c r="F90" s="8" t="s">
        <v>430</v>
      </c>
      <c r="G90" s="8" t="s">
        <v>44</v>
      </c>
      <c r="H90" s="8" t="s">
        <v>45</v>
      </c>
      <c r="I90" s="8" t="s">
        <v>99</v>
      </c>
      <c r="J90" s="8" t="s">
        <v>431</v>
      </c>
      <c r="K90" s="8" t="s">
        <v>117</v>
      </c>
      <c r="L90" s="9" t="n">
        <v>2.2</v>
      </c>
      <c r="M90" s="10" t="n">
        <v>9</v>
      </c>
      <c r="N90" s="11" t="n">
        <f aca="false">IFERROR(L90/M90,"")</f>
        <v>0.244444444444444</v>
      </c>
      <c r="O90" s="12" t="s">
        <v>48</v>
      </c>
      <c r="P90" s="12" t="str">
        <f aca="false">IF(N90="","",IF(N90&gt;0.32,"Reprice or resource",IF(N90&lt;0.2,"Check cost is realistic","OK")))</f>
        <v>OK</v>
      </c>
    </row>
    <row r="91" customFormat="false" ht="15" hidden="false" customHeight="false" outlineLevel="0" collapsed="false">
      <c r="A91" s="8" t="n">
        <v>90</v>
      </c>
      <c r="B91" s="8" t="s">
        <v>432</v>
      </c>
      <c r="C91" s="8" t="s">
        <v>433</v>
      </c>
      <c r="D91" s="8" t="s">
        <v>41</v>
      </c>
      <c r="E91" s="8" t="s">
        <v>374</v>
      </c>
      <c r="F91" s="8" t="s">
        <v>434</v>
      </c>
      <c r="G91" s="8" t="s">
        <v>44</v>
      </c>
      <c r="H91" s="8" t="s">
        <v>99</v>
      </c>
      <c r="I91" s="8" t="s">
        <v>99</v>
      </c>
      <c r="J91" s="8" t="s">
        <v>435</v>
      </c>
      <c r="K91" s="8" t="s">
        <v>262</v>
      </c>
      <c r="L91" s="9" t="n">
        <v>2</v>
      </c>
      <c r="M91" s="10" t="n">
        <v>9</v>
      </c>
      <c r="N91" s="11" t="n">
        <f aca="false">IFERROR(L91/M91,"")</f>
        <v>0.222222222222222</v>
      </c>
      <c r="O91" s="12" t="s">
        <v>48</v>
      </c>
      <c r="P91" s="12" t="str">
        <f aca="false">IF(N91="","",IF(N91&gt;0.32,"Reprice or resource",IF(N91&lt;0.2,"Check cost is realistic","OK")))</f>
        <v>OK</v>
      </c>
    </row>
    <row r="92" customFormat="false" ht="15" hidden="false" customHeight="false" outlineLevel="0" collapsed="false">
      <c r="A92" s="8" t="n">
        <v>91</v>
      </c>
      <c r="B92" s="8" t="s">
        <v>436</v>
      </c>
      <c r="C92" s="8" t="s">
        <v>437</v>
      </c>
      <c r="D92" s="8" t="s">
        <v>41</v>
      </c>
      <c r="E92" s="8" t="s">
        <v>374</v>
      </c>
      <c r="F92" s="8" t="s">
        <v>438</v>
      </c>
      <c r="G92" s="8" t="s">
        <v>44</v>
      </c>
      <c r="H92" s="8" t="s">
        <v>45</v>
      </c>
      <c r="I92" s="8" t="s">
        <v>99</v>
      </c>
      <c r="J92" s="8" t="s">
        <v>439</v>
      </c>
      <c r="K92" s="8" t="s">
        <v>398</v>
      </c>
      <c r="L92" s="9" t="n">
        <v>1.8</v>
      </c>
      <c r="M92" s="10" t="n">
        <v>8</v>
      </c>
      <c r="N92" s="11" t="n">
        <f aca="false">IFERROR(L92/M92,"")</f>
        <v>0.225</v>
      </c>
      <c r="O92" s="12" t="s">
        <v>48</v>
      </c>
      <c r="P92" s="12" t="str">
        <f aca="false">IF(N92="","",IF(N92&gt;0.32,"Reprice or resource",IF(N92&lt;0.2,"Check cost is realistic","OK")))</f>
        <v>OK</v>
      </c>
    </row>
    <row r="93" customFormat="false" ht="23.85" hidden="false" customHeight="false" outlineLevel="0" collapsed="false">
      <c r="A93" s="8" t="n">
        <v>92</v>
      </c>
      <c r="B93" s="8" t="s">
        <v>440</v>
      </c>
      <c r="C93" s="8" t="s">
        <v>441</v>
      </c>
      <c r="D93" s="8" t="s">
        <v>41</v>
      </c>
      <c r="E93" s="8" t="s">
        <v>421</v>
      </c>
      <c r="F93" s="8" t="s">
        <v>442</v>
      </c>
      <c r="G93" s="8" t="s">
        <v>44</v>
      </c>
      <c r="H93" s="8" t="s">
        <v>99</v>
      </c>
      <c r="I93" s="8" t="s">
        <v>99</v>
      </c>
      <c r="J93" s="8" t="s">
        <v>443</v>
      </c>
      <c r="K93" s="8" t="s">
        <v>94</v>
      </c>
      <c r="L93" s="9" t="n">
        <v>4.2</v>
      </c>
      <c r="M93" s="10" t="n">
        <v>15</v>
      </c>
      <c r="N93" s="11" t="n">
        <f aca="false">IFERROR(L93/M93,"")</f>
        <v>0.28</v>
      </c>
      <c r="O93" s="12" t="s">
        <v>48</v>
      </c>
      <c r="P93" s="12" t="str">
        <f aca="false">IF(N93="","",IF(N93&gt;0.32,"Reprice or resource",IF(N93&lt;0.2,"Check cost is realistic","OK")))</f>
        <v>OK</v>
      </c>
    </row>
    <row r="94" customFormat="false" ht="23.85" hidden="false" customHeight="false" outlineLevel="0" collapsed="false">
      <c r="A94" s="8" t="n">
        <v>93</v>
      </c>
      <c r="B94" s="8" t="s">
        <v>444</v>
      </c>
      <c r="C94" s="8" t="s">
        <v>445</v>
      </c>
      <c r="D94" s="8" t="s">
        <v>41</v>
      </c>
      <c r="E94" s="8" t="s">
        <v>421</v>
      </c>
      <c r="F94" s="8" t="s">
        <v>446</v>
      </c>
      <c r="G94" s="8" t="s">
        <v>179</v>
      </c>
      <c r="H94" s="8" t="s">
        <v>99</v>
      </c>
      <c r="I94" s="8" t="s">
        <v>99</v>
      </c>
      <c r="J94" s="8" t="s">
        <v>447</v>
      </c>
      <c r="K94" s="8" t="s">
        <v>117</v>
      </c>
      <c r="L94" s="9" t="n">
        <v>5</v>
      </c>
      <c r="M94" s="10" t="n">
        <v>18</v>
      </c>
      <c r="N94" s="11" t="n">
        <f aca="false">IFERROR(L94/M94,"")</f>
        <v>0.277777777777778</v>
      </c>
      <c r="O94" s="12" t="s">
        <v>48</v>
      </c>
      <c r="P94" s="12" t="str">
        <f aca="false">IF(N94="","",IF(N94&gt;0.32,"Reprice or resource",IF(N94&lt;0.2,"Check cost is realistic","OK")))</f>
        <v>OK</v>
      </c>
    </row>
    <row r="95" customFormat="false" ht="23.85" hidden="false" customHeight="false" outlineLevel="0" collapsed="false">
      <c r="A95" s="8" t="n">
        <v>94</v>
      </c>
      <c r="B95" s="8" t="s">
        <v>448</v>
      </c>
      <c r="C95" s="8" t="s">
        <v>449</v>
      </c>
      <c r="D95" s="8" t="s">
        <v>41</v>
      </c>
      <c r="E95" s="8" t="s">
        <v>421</v>
      </c>
      <c r="F95" s="8" t="s">
        <v>450</v>
      </c>
      <c r="G95" s="8" t="s">
        <v>44</v>
      </c>
      <c r="H95" s="8" t="s">
        <v>99</v>
      </c>
      <c r="I95" s="8" t="s">
        <v>99</v>
      </c>
      <c r="J95" s="8" t="s">
        <v>451</v>
      </c>
      <c r="K95" s="8" t="s">
        <v>452</v>
      </c>
      <c r="L95" s="9" t="n">
        <v>4</v>
      </c>
      <c r="M95" s="10" t="n">
        <v>15</v>
      </c>
      <c r="N95" s="11" t="n">
        <f aca="false">IFERROR(L95/M95,"")</f>
        <v>0.266666666666667</v>
      </c>
      <c r="O95" s="12" t="s">
        <v>48</v>
      </c>
      <c r="P95" s="12" t="str">
        <f aca="false">IF(N95="","",IF(N95&gt;0.32,"Reprice or resource",IF(N95&lt;0.2,"Check cost is realistic","OK")))</f>
        <v>OK</v>
      </c>
    </row>
    <row r="96" customFormat="false" ht="23.85" hidden="false" customHeight="false" outlineLevel="0" collapsed="false">
      <c r="A96" s="8" t="n">
        <v>95</v>
      </c>
      <c r="B96" s="8" t="s">
        <v>453</v>
      </c>
      <c r="C96" s="8" t="s">
        <v>454</v>
      </c>
      <c r="D96" s="8" t="s">
        <v>455</v>
      </c>
      <c r="E96" s="8" t="s">
        <v>421</v>
      </c>
      <c r="F96" s="8" t="s">
        <v>456</v>
      </c>
      <c r="G96" s="8" t="s">
        <v>179</v>
      </c>
      <c r="H96" s="8" t="s">
        <v>45</v>
      </c>
      <c r="I96" s="8" t="s">
        <v>99</v>
      </c>
      <c r="J96" s="8" t="s">
        <v>457</v>
      </c>
      <c r="K96" s="8" t="s">
        <v>94</v>
      </c>
      <c r="L96" s="9" t="n">
        <v>3.6</v>
      </c>
      <c r="M96" s="10" t="n">
        <v>14</v>
      </c>
      <c r="N96" s="11" t="n">
        <f aca="false">IFERROR(L96/M96,"")</f>
        <v>0.257142857142857</v>
      </c>
      <c r="O96" s="12" t="s">
        <v>48</v>
      </c>
      <c r="P96" s="12" t="str">
        <f aca="false">IF(N96="","",IF(N96&gt;0.32,"Reprice or resource",IF(N96&lt;0.2,"Check cost is realistic","OK")))</f>
        <v>OK</v>
      </c>
    </row>
    <row r="97" customFormat="false" ht="23.85" hidden="false" customHeight="false" outlineLevel="0" collapsed="false">
      <c r="A97" s="8" t="n">
        <v>96</v>
      </c>
      <c r="B97" s="8" t="s">
        <v>458</v>
      </c>
      <c r="C97" s="8" t="s">
        <v>459</v>
      </c>
      <c r="D97" s="8" t="s">
        <v>41</v>
      </c>
      <c r="E97" s="8" t="s">
        <v>374</v>
      </c>
      <c r="F97" s="8" t="s">
        <v>460</v>
      </c>
      <c r="G97" s="8" t="s">
        <v>44</v>
      </c>
      <c r="H97" s="8" t="s">
        <v>45</v>
      </c>
      <c r="I97" s="8" t="s">
        <v>99</v>
      </c>
      <c r="J97" s="8" t="s">
        <v>461</v>
      </c>
      <c r="K97" s="8" t="s">
        <v>382</v>
      </c>
      <c r="L97" s="9" t="n">
        <v>3</v>
      </c>
      <c r="M97" s="10" t="n">
        <v>12</v>
      </c>
      <c r="N97" s="11" t="n">
        <f aca="false">IFERROR(L97/M97,"")</f>
        <v>0.25</v>
      </c>
      <c r="O97" s="12" t="s">
        <v>48</v>
      </c>
      <c r="P97" s="12" t="str">
        <f aca="false">IF(N97="","",IF(N97&gt;0.32,"Reprice or resource",IF(N97&lt;0.2,"Check cost is realistic","OK")))</f>
        <v>OK</v>
      </c>
    </row>
    <row r="98" customFormat="false" ht="15" hidden="false" customHeight="false" outlineLevel="0" collapsed="false">
      <c r="A98" s="8" t="n">
        <v>97</v>
      </c>
      <c r="B98" s="8" t="s">
        <v>462</v>
      </c>
      <c r="C98" s="8" t="s">
        <v>463</v>
      </c>
      <c r="D98" s="8" t="s">
        <v>41</v>
      </c>
      <c r="E98" s="8" t="s">
        <v>374</v>
      </c>
      <c r="F98" s="8" t="s">
        <v>464</v>
      </c>
      <c r="G98" s="8" t="s">
        <v>44</v>
      </c>
      <c r="H98" s="8" t="s">
        <v>45</v>
      </c>
      <c r="I98" s="8" t="s">
        <v>99</v>
      </c>
      <c r="J98" s="8" t="s">
        <v>465</v>
      </c>
      <c r="K98" s="8" t="s">
        <v>94</v>
      </c>
      <c r="L98" s="9" t="n">
        <v>2.2</v>
      </c>
      <c r="M98" s="10" t="n">
        <v>9</v>
      </c>
      <c r="N98" s="11" t="n">
        <f aca="false">IFERROR(L98/M98,"")</f>
        <v>0.244444444444444</v>
      </c>
      <c r="O98" s="12" t="s">
        <v>48</v>
      </c>
      <c r="P98" s="12" t="str">
        <f aca="false">IF(N98="","",IF(N98&gt;0.32,"Reprice or resource",IF(N98&lt;0.2,"Check cost is realistic","OK")))</f>
        <v>OK</v>
      </c>
    </row>
    <row r="99" customFormat="false" ht="15" hidden="false" customHeight="false" outlineLevel="0" collapsed="false">
      <c r="A99" s="8" t="n">
        <v>98</v>
      </c>
      <c r="B99" s="8" t="s">
        <v>466</v>
      </c>
      <c r="C99" s="8" t="s">
        <v>467</v>
      </c>
      <c r="D99" s="8" t="s">
        <v>149</v>
      </c>
      <c r="E99" s="8" t="s">
        <v>421</v>
      </c>
      <c r="F99" s="8" t="s">
        <v>468</v>
      </c>
      <c r="G99" s="8" t="s">
        <v>87</v>
      </c>
      <c r="H99" s="8" t="s">
        <v>45</v>
      </c>
      <c r="I99" s="8" t="s">
        <v>99</v>
      </c>
      <c r="J99" s="8" t="s">
        <v>469</v>
      </c>
      <c r="K99" s="8" t="s">
        <v>117</v>
      </c>
      <c r="L99" s="9" t="n">
        <v>2.2</v>
      </c>
      <c r="M99" s="10" t="n">
        <v>10</v>
      </c>
      <c r="N99" s="11" t="n">
        <f aca="false">IFERROR(L99/M99,"")</f>
        <v>0.22</v>
      </c>
      <c r="O99" s="12" t="s">
        <v>48</v>
      </c>
      <c r="P99" s="12" t="str">
        <f aca="false">IF(N99="","",IF(N99&gt;0.32,"Reprice or resource",IF(N99&lt;0.2,"Check cost is realistic","OK")))</f>
        <v>OK</v>
      </c>
    </row>
    <row r="100" customFormat="false" ht="23.85" hidden="false" customHeight="false" outlineLevel="0" collapsed="false">
      <c r="A100" s="8" t="n">
        <v>99</v>
      </c>
      <c r="B100" s="8" t="s">
        <v>470</v>
      </c>
      <c r="C100" s="8" t="s">
        <v>471</v>
      </c>
      <c r="D100" s="8" t="s">
        <v>149</v>
      </c>
      <c r="E100" s="8" t="s">
        <v>421</v>
      </c>
      <c r="F100" s="8" t="s">
        <v>472</v>
      </c>
      <c r="G100" s="8" t="s">
        <v>179</v>
      </c>
      <c r="H100" s="8" t="s">
        <v>45</v>
      </c>
      <c r="I100" s="8" t="s">
        <v>99</v>
      </c>
      <c r="J100" s="8" t="s">
        <v>473</v>
      </c>
      <c r="K100" s="8" t="s">
        <v>474</v>
      </c>
      <c r="L100" s="9" t="n">
        <v>3.6</v>
      </c>
      <c r="M100" s="10" t="n">
        <v>14</v>
      </c>
      <c r="N100" s="11" t="n">
        <f aca="false">IFERROR(L100/M100,"")</f>
        <v>0.257142857142857</v>
      </c>
      <c r="O100" s="12" t="s">
        <v>48</v>
      </c>
      <c r="P100" s="12" t="str">
        <f aca="false">IF(N100="","",IF(N100&gt;0.32,"Reprice or resource",IF(N100&lt;0.2,"Check cost is realistic","OK")))</f>
        <v>OK</v>
      </c>
    </row>
    <row r="101" customFormat="false" ht="23.85" hidden="false" customHeight="false" outlineLevel="0" collapsed="false">
      <c r="A101" s="8" t="n">
        <v>100</v>
      </c>
      <c r="B101" s="8" t="s">
        <v>475</v>
      </c>
      <c r="C101" s="8" t="s">
        <v>476</v>
      </c>
      <c r="D101" s="8" t="s">
        <v>97</v>
      </c>
      <c r="E101" s="8" t="s">
        <v>374</v>
      </c>
      <c r="F101" s="8" t="s">
        <v>477</v>
      </c>
      <c r="G101" s="8" t="s">
        <v>44</v>
      </c>
      <c r="H101" s="8" t="s">
        <v>45</v>
      </c>
      <c r="I101" s="8" t="s">
        <v>99</v>
      </c>
      <c r="J101" s="8" t="s">
        <v>478</v>
      </c>
      <c r="K101" s="8" t="s">
        <v>479</v>
      </c>
      <c r="L101" s="9" t="n">
        <v>2.4</v>
      </c>
      <c r="M101" s="10" t="n">
        <v>10</v>
      </c>
      <c r="N101" s="11" t="n">
        <f aca="false">IFERROR(L101/M101,"")</f>
        <v>0.24</v>
      </c>
      <c r="O101" s="12" t="s">
        <v>48</v>
      </c>
      <c r="P101" s="12" t="str">
        <f aca="false">IF(N101="","",IF(N101&gt;0.32,"Reprice or resource",IF(N101&lt;0.2,"Check cost is realistic","OK")))</f>
        <v>OK</v>
      </c>
    </row>
    <row r="102" customFormat="false" ht="15" hidden="false" customHeight="false" outlineLevel="0" collapsed="false">
      <c r="A102" s="8" t="n">
        <v>101</v>
      </c>
      <c r="B102" s="8" t="s">
        <v>480</v>
      </c>
      <c r="C102" s="8" t="s">
        <v>481</v>
      </c>
      <c r="D102" s="8" t="s">
        <v>41</v>
      </c>
      <c r="E102" s="8" t="s">
        <v>421</v>
      </c>
      <c r="F102" s="8" t="s">
        <v>482</v>
      </c>
      <c r="G102" s="8" t="s">
        <v>44</v>
      </c>
      <c r="H102" s="8" t="s">
        <v>99</v>
      </c>
      <c r="I102" s="8" t="s">
        <v>99</v>
      </c>
      <c r="J102" s="8" t="s">
        <v>483</v>
      </c>
      <c r="K102" s="8" t="s">
        <v>117</v>
      </c>
      <c r="L102" s="9" t="n">
        <v>4</v>
      </c>
      <c r="M102" s="10" t="n">
        <v>15</v>
      </c>
      <c r="N102" s="11" t="n">
        <f aca="false">IFERROR(L102/M102,"")</f>
        <v>0.266666666666667</v>
      </c>
      <c r="O102" s="12" t="s">
        <v>48</v>
      </c>
      <c r="P102" s="12" t="str">
        <f aca="false">IF(N102="","",IF(N102&gt;0.32,"Reprice or resource",IF(N102&lt;0.2,"Check cost is realistic","OK")))</f>
        <v>OK</v>
      </c>
    </row>
    <row r="103" customFormat="false" ht="23.85" hidden="false" customHeight="false" outlineLevel="0" collapsed="false">
      <c r="A103" s="8" t="n">
        <v>102</v>
      </c>
      <c r="B103" s="8" t="s">
        <v>484</v>
      </c>
      <c r="C103" s="8" t="s">
        <v>441</v>
      </c>
      <c r="D103" s="8" t="s">
        <v>41</v>
      </c>
      <c r="E103" s="8" t="s">
        <v>374</v>
      </c>
      <c r="F103" s="8" t="s">
        <v>485</v>
      </c>
      <c r="G103" s="8" t="s">
        <v>44</v>
      </c>
      <c r="H103" s="8" t="s">
        <v>45</v>
      </c>
      <c r="I103" s="8" t="s">
        <v>99</v>
      </c>
      <c r="J103" s="8" t="s">
        <v>486</v>
      </c>
      <c r="K103" s="8" t="s">
        <v>398</v>
      </c>
      <c r="L103" s="9" t="n">
        <v>2.4</v>
      </c>
      <c r="M103" s="10" t="n">
        <v>10</v>
      </c>
      <c r="N103" s="11" t="n">
        <f aca="false">IFERROR(L103/M103,"")</f>
        <v>0.24</v>
      </c>
      <c r="O103" s="12" t="s">
        <v>48</v>
      </c>
      <c r="P103" s="12" t="str">
        <f aca="false">IF(N103="","",IF(N103&gt;0.32,"Reprice or resource",IF(N103&lt;0.2,"Check cost is realistic","OK")))</f>
        <v>OK</v>
      </c>
    </row>
    <row r="104" customFormat="false" ht="15" hidden="false" customHeight="false" outlineLevel="0" collapsed="false">
      <c r="A104" s="8" t="n">
        <v>103</v>
      </c>
      <c r="B104" s="8" t="s">
        <v>487</v>
      </c>
      <c r="C104" s="8" t="s">
        <v>488</v>
      </c>
      <c r="D104" s="8" t="s">
        <v>41</v>
      </c>
      <c r="E104" s="8" t="s">
        <v>374</v>
      </c>
      <c r="F104" s="8" t="s">
        <v>489</v>
      </c>
      <c r="G104" s="8" t="s">
        <v>44</v>
      </c>
      <c r="H104" s="8" t="s">
        <v>45</v>
      </c>
      <c r="I104" s="8" t="s">
        <v>99</v>
      </c>
      <c r="J104" s="8" t="s">
        <v>490</v>
      </c>
      <c r="K104" s="8" t="s">
        <v>262</v>
      </c>
      <c r="L104" s="9" t="n">
        <v>1.2</v>
      </c>
      <c r="M104" s="10" t="n">
        <v>6</v>
      </c>
      <c r="N104" s="11" t="n">
        <f aca="false">IFERROR(L104/M104,"")</f>
        <v>0.2</v>
      </c>
      <c r="O104" s="12" t="s">
        <v>48</v>
      </c>
      <c r="P104" s="12" t="str">
        <f aca="false">IF(N104="","",IF(N104&gt;0.32,"Reprice or resource",IF(N104&lt;0.2,"Check cost is realistic","OK")))</f>
        <v>OK</v>
      </c>
    </row>
    <row r="105" customFormat="false" ht="23.85" hidden="false" customHeight="false" outlineLevel="0" collapsed="false">
      <c r="A105" s="8" t="n">
        <v>104</v>
      </c>
      <c r="B105" s="8" t="s">
        <v>491</v>
      </c>
      <c r="C105" s="8" t="s">
        <v>492</v>
      </c>
      <c r="D105" s="8" t="s">
        <v>130</v>
      </c>
      <c r="E105" s="8" t="s">
        <v>421</v>
      </c>
      <c r="F105" s="8" t="s">
        <v>493</v>
      </c>
      <c r="G105" s="8" t="s">
        <v>179</v>
      </c>
      <c r="H105" s="8" t="s">
        <v>45</v>
      </c>
      <c r="I105" s="8" t="s">
        <v>99</v>
      </c>
      <c r="J105" s="8" t="s">
        <v>494</v>
      </c>
      <c r="K105" s="8" t="s">
        <v>495</v>
      </c>
      <c r="L105" s="9" t="n">
        <v>2.4</v>
      </c>
      <c r="M105" s="10" t="n">
        <v>11</v>
      </c>
      <c r="N105" s="11" t="n">
        <f aca="false">IFERROR(L105/M105,"")</f>
        <v>0.218181818181818</v>
      </c>
      <c r="O105" s="12" t="s">
        <v>48</v>
      </c>
      <c r="P105" s="12" t="str">
        <f aca="false">IF(N105="","",IF(N105&gt;0.32,"Reprice or resource",IF(N105&lt;0.2,"Check cost is realistic","OK")))</f>
        <v>OK</v>
      </c>
    </row>
    <row r="106" customFormat="false" ht="15" hidden="false" customHeight="false" outlineLevel="0" collapsed="false">
      <c r="A106" s="8" t="n">
        <v>105</v>
      </c>
      <c r="B106" s="8" t="s">
        <v>496</v>
      </c>
      <c r="C106" s="8" t="s">
        <v>497</v>
      </c>
      <c r="D106" s="8" t="s">
        <v>41</v>
      </c>
      <c r="E106" s="8" t="s">
        <v>421</v>
      </c>
      <c r="F106" s="8" t="s">
        <v>498</v>
      </c>
      <c r="G106" s="8" t="s">
        <v>44</v>
      </c>
      <c r="H106" s="8" t="s">
        <v>99</v>
      </c>
      <c r="I106" s="8" t="s">
        <v>99</v>
      </c>
      <c r="J106" s="8" t="s">
        <v>499</v>
      </c>
      <c r="K106" s="8" t="s">
        <v>382</v>
      </c>
      <c r="L106" s="9" t="n">
        <v>3.8</v>
      </c>
      <c r="M106" s="10" t="n">
        <v>15</v>
      </c>
      <c r="N106" s="11" t="n">
        <f aca="false">IFERROR(L106/M106,"")</f>
        <v>0.253333333333333</v>
      </c>
      <c r="O106" s="12" t="s">
        <v>48</v>
      </c>
      <c r="P106" s="12" t="str">
        <f aca="false">IF(N106="","",IF(N106&gt;0.32,"Reprice or resource",IF(N106&lt;0.2,"Check cost is realistic","OK")))</f>
        <v>OK</v>
      </c>
    </row>
    <row r="107" customFormat="false" ht="23.85" hidden="false" customHeight="false" outlineLevel="0" collapsed="false">
      <c r="A107" s="8" t="n">
        <v>106</v>
      </c>
      <c r="B107" s="8" t="s">
        <v>500</v>
      </c>
      <c r="C107" s="8" t="s">
        <v>501</v>
      </c>
      <c r="D107" s="8" t="s">
        <v>130</v>
      </c>
      <c r="E107" s="8" t="s">
        <v>421</v>
      </c>
      <c r="F107" s="8" t="s">
        <v>502</v>
      </c>
      <c r="G107" s="8" t="s">
        <v>179</v>
      </c>
      <c r="H107" s="8" t="s">
        <v>45</v>
      </c>
      <c r="I107" s="8" t="s">
        <v>99</v>
      </c>
      <c r="J107" s="8" t="s">
        <v>503</v>
      </c>
      <c r="K107" s="8" t="s">
        <v>94</v>
      </c>
      <c r="L107" s="9" t="n">
        <v>3</v>
      </c>
      <c r="M107" s="10" t="n">
        <v>12</v>
      </c>
      <c r="N107" s="11" t="n">
        <f aca="false">IFERROR(L107/M107,"")</f>
        <v>0.25</v>
      </c>
      <c r="O107" s="12" t="s">
        <v>48</v>
      </c>
      <c r="P107" s="12" t="str">
        <f aca="false">IF(N107="","",IF(N107&gt;0.32,"Reprice or resource",IF(N107&lt;0.2,"Check cost is realistic","OK")))</f>
        <v>OK</v>
      </c>
    </row>
    <row r="108" customFormat="false" ht="15" hidden="false" customHeight="false" outlineLevel="0" collapsed="false">
      <c r="A108" s="8" t="n">
        <v>107</v>
      </c>
      <c r="B108" s="8" t="s">
        <v>504</v>
      </c>
      <c r="C108" s="8" t="s">
        <v>505</v>
      </c>
      <c r="D108" s="8" t="s">
        <v>41</v>
      </c>
      <c r="E108" s="8" t="s">
        <v>374</v>
      </c>
      <c r="F108" s="8" t="s">
        <v>506</v>
      </c>
      <c r="G108" s="8" t="s">
        <v>44</v>
      </c>
      <c r="H108" s="8" t="s">
        <v>45</v>
      </c>
      <c r="I108" s="8" t="s">
        <v>99</v>
      </c>
      <c r="J108" s="8" t="s">
        <v>507</v>
      </c>
      <c r="K108" s="8" t="s">
        <v>508</v>
      </c>
      <c r="L108" s="9" t="n">
        <v>1.4</v>
      </c>
      <c r="M108" s="10" t="n">
        <v>7</v>
      </c>
      <c r="N108" s="11" t="n">
        <f aca="false">IFERROR(L108/M108,"")</f>
        <v>0.2</v>
      </c>
      <c r="O108" s="12" t="s">
        <v>48</v>
      </c>
      <c r="P108" s="12" t="str">
        <f aca="false">IF(N108="","",IF(N108&gt;0.32,"Reprice or resource",IF(N108&lt;0.2,"Check cost is realistic","OK")))</f>
        <v>OK</v>
      </c>
    </row>
    <row r="109" customFormat="false" ht="15" hidden="false" customHeight="false" outlineLevel="0" collapsed="false">
      <c r="A109" s="8" t="n">
        <v>108</v>
      </c>
      <c r="B109" s="8" t="s">
        <v>509</v>
      </c>
      <c r="C109" s="8" t="s">
        <v>510</v>
      </c>
      <c r="D109" s="8" t="s">
        <v>130</v>
      </c>
      <c r="E109" s="8" t="s">
        <v>374</v>
      </c>
      <c r="F109" s="8" t="s">
        <v>511</v>
      </c>
      <c r="G109" s="8" t="s">
        <v>44</v>
      </c>
      <c r="H109" s="8" t="s">
        <v>45</v>
      </c>
      <c r="I109" s="8" t="s">
        <v>99</v>
      </c>
      <c r="J109" s="8" t="s">
        <v>512</v>
      </c>
      <c r="K109" s="8" t="s">
        <v>398</v>
      </c>
      <c r="L109" s="9" t="n">
        <v>1.4</v>
      </c>
      <c r="M109" s="10" t="n">
        <v>7</v>
      </c>
      <c r="N109" s="11" t="n">
        <f aca="false">IFERROR(L109/M109,"")</f>
        <v>0.2</v>
      </c>
      <c r="O109" s="12" t="s">
        <v>48</v>
      </c>
      <c r="P109" s="12" t="str">
        <f aca="false">IF(N109="","",IF(N109&gt;0.32,"Reprice or resource",IF(N109&lt;0.2,"Check cost is realistic","OK")))</f>
        <v>OK</v>
      </c>
    </row>
    <row r="110" customFormat="false" ht="23.85" hidden="false" customHeight="false" outlineLevel="0" collapsed="false">
      <c r="A110" s="8" t="n">
        <v>109</v>
      </c>
      <c r="B110" s="8" t="s">
        <v>513</v>
      </c>
      <c r="C110" s="8" t="s">
        <v>514</v>
      </c>
      <c r="D110" s="8" t="s">
        <v>149</v>
      </c>
      <c r="E110" s="8" t="s">
        <v>42</v>
      </c>
      <c r="F110" s="8" t="s">
        <v>515</v>
      </c>
      <c r="G110" s="8" t="s">
        <v>44</v>
      </c>
      <c r="H110" s="8" t="s">
        <v>45</v>
      </c>
      <c r="I110" s="8" t="s">
        <v>99</v>
      </c>
      <c r="J110" s="8" t="s">
        <v>516</v>
      </c>
      <c r="K110" s="8" t="s">
        <v>270</v>
      </c>
      <c r="L110" s="9" t="n">
        <v>1.8</v>
      </c>
      <c r="M110" s="10" t="n">
        <v>8</v>
      </c>
      <c r="N110" s="11" t="n">
        <f aca="false">IFERROR(L110/M110,"")</f>
        <v>0.225</v>
      </c>
      <c r="O110" s="12" t="s">
        <v>48</v>
      </c>
      <c r="P110" s="12" t="str">
        <f aca="false">IF(N110="","",IF(N110&gt;0.32,"Reprice or resource",IF(N110&lt;0.2,"Check cost is realistic","OK")))</f>
        <v>OK</v>
      </c>
    </row>
    <row r="111" customFormat="false" ht="23.85" hidden="false" customHeight="false" outlineLevel="0" collapsed="false">
      <c r="A111" s="8" t="n">
        <v>110</v>
      </c>
      <c r="B111" s="8" t="s">
        <v>517</v>
      </c>
      <c r="C111" s="8" t="s">
        <v>518</v>
      </c>
      <c r="D111" s="8" t="s">
        <v>149</v>
      </c>
      <c r="E111" s="8" t="s">
        <v>42</v>
      </c>
      <c r="F111" s="8" t="s">
        <v>519</v>
      </c>
      <c r="G111" s="8" t="s">
        <v>44</v>
      </c>
      <c r="H111" s="8" t="s">
        <v>45</v>
      </c>
      <c r="I111" s="8" t="s">
        <v>99</v>
      </c>
      <c r="J111" s="8" t="s">
        <v>520</v>
      </c>
      <c r="K111" s="8" t="s">
        <v>94</v>
      </c>
      <c r="L111" s="9" t="n">
        <v>2.2</v>
      </c>
      <c r="M111" s="10" t="n">
        <v>9</v>
      </c>
      <c r="N111" s="11" t="n">
        <f aca="false">IFERROR(L111/M111,"")</f>
        <v>0.244444444444444</v>
      </c>
      <c r="O111" s="12" t="s">
        <v>48</v>
      </c>
      <c r="P111" s="12" t="str">
        <f aca="false">IF(N111="","",IF(N111&gt;0.32,"Reprice or resource",IF(N111&lt;0.2,"Check cost is realistic","OK")))</f>
        <v>OK</v>
      </c>
    </row>
    <row r="112" customFormat="false" ht="15" hidden="false" customHeight="false" outlineLevel="0" collapsed="false">
      <c r="A112" s="8" t="n">
        <v>111</v>
      </c>
      <c r="B112" s="8" t="s">
        <v>521</v>
      </c>
      <c r="C112" s="8" t="s">
        <v>522</v>
      </c>
      <c r="D112" s="8" t="s">
        <v>149</v>
      </c>
      <c r="E112" s="8" t="s">
        <v>42</v>
      </c>
      <c r="F112" s="8" t="s">
        <v>523</v>
      </c>
      <c r="G112" s="8" t="s">
        <v>44</v>
      </c>
      <c r="H112" s="8" t="s">
        <v>45</v>
      </c>
      <c r="I112" s="8" t="s">
        <v>99</v>
      </c>
      <c r="J112" s="8" t="s">
        <v>524</v>
      </c>
      <c r="K112" s="8" t="s">
        <v>94</v>
      </c>
      <c r="L112" s="9" t="n">
        <v>2</v>
      </c>
      <c r="M112" s="10" t="n">
        <v>8</v>
      </c>
      <c r="N112" s="11" t="n">
        <f aca="false">IFERROR(L112/M112,"")</f>
        <v>0.25</v>
      </c>
      <c r="O112" s="12" t="s">
        <v>48</v>
      </c>
      <c r="P112" s="12" t="str">
        <f aca="false">IF(N112="","",IF(N112&gt;0.32,"Reprice or resource",IF(N112&lt;0.2,"Check cost is realistic","OK")))</f>
        <v>OK</v>
      </c>
    </row>
    <row r="113" customFormat="false" ht="23.85" hidden="false" customHeight="false" outlineLevel="0" collapsed="false">
      <c r="A113" s="8" t="n">
        <v>112</v>
      </c>
      <c r="B113" s="8" t="s">
        <v>525</v>
      </c>
      <c r="C113" s="8" t="s">
        <v>526</v>
      </c>
      <c r="D113" s="8" t="s">
        <v>149</v>
      </c>
      <c r="E113" s="8" t="s">
        <v>249</v>
      </c>
      <c r="F113" s="8" t="s">
        <v>527</v>
      </c>
      <c r="G113" s="8" t="s">
        <v>44</v>
      </c>
      <c r="H113" s="8" t="s">
        <v>45</v>
      </c>
      <c r="I113" s="8" t="s">
        <v>99</v>
      </c>
      <c r="J113" s="8" t="s">
        <v>528</v>
      </c>
      <c r="K113" s="8" t="s">
        <v>94</v>
      </c>
      <c r="L113" s="9" t="n">
        <v>4.2</v>
      </c>
      <c r="M113" s="10" t="n">
        <v>16</v>
      </c>
      <c r="N113" s="11" t="n">
        <f aca="false">IFERROR(L113/M113,"")</f>
        <v>0.2625</v>
      </c>
      <c r="O113" s="12" t="s">
        <v>48</v>
      </c>
      <c r="P113" s="12" t="str">
        <f aca="false">IF(N113="","",IF(N113&gt;0.32,"Reprice or resource",IF(N113&lt;0.2,"Check cost is realistic","OK")))</f>
        <v>OK</v>
      </c>
    </row>
    <row r="114" customFormat="false" ht="23.85" hidden="false" customHeight="false" outlineLevel="0" collapsed="false">
      <c r="A114" s="8" t="n">
        <v>113</v>
      </c>
      <c r="B114" s="8" t="s">
        <v>529</v>
      </c>
      <c r="C114" s="8" t="s">
        <v>530</v>
      </c>
      <c r="D114" s="8" t="s">
        <v>149</v>
      </c>
      <c r="E114" s="8" t="s">
        <v>169</v>
      </c>
      <c r="F114" s="8" t="s">
        <v>531</v>
      </c>
      <c r="G114" s="8" t="s">
        <v>179</v>
      </c>
      <c r="H114" s="8" t="s">
        <v>45</v>
      </c>
      <c r="I114" s="8" t="s">
        <v>45</v>
      </c>
      <c r="J114" s="8" t="s">
        <v>532</v>
      </c>
      <c r="K114" s="8" t="s">
        <v>117</v>
      </c>
      <c r="L114" s="9" t="n">
        <v>6</v>
      </c>
      <c r="M114" s="10" t="n">
        <v>24</v>
      </c>
      <c r="N114" s="11" t="n">
        <f aca="false">IFERROR(L114/M114,"")</f>
        <v>0.25</v>
      </c>
      <c r="O114" s="12" t="s">
        <v>48</v>
      </c>
      <c r="P114" s="12" t="str">
        <f aca="false">IF(N114="","",IF(N114&gt;0.32,"Reprice or resource",IF(N114&lt;0.2,"Check cost is realistic","OK")))</f>
        <v>OK</v>
      </c>
    </row>
    <row r="115" customFormat="false" ht="15" hidden="false" customHeight="false" outlineLevel="0" collapsed="false">
      <c r="A115" s="8" t="n">
        <v>114</v>
      </c>
      <c r="B115" s="8" t="s">
        <v>533</v>
      </c>
      <c r="C115" s="8" t="s">
        <v>534</v>
      </c>
      <c r="D115" s="8" t="s">
        <v>149</v>
      </c>
      <c r="E115" s="8" t="s">
        <v>169</v>
      </c>
      <c r="F115" s="8" t="s">
        <v>535</v>
      </c>
      <c r="G115" s="8" t="s">
        <v>87</v>
      </c>
      <c r="H115" s="8" t="s">
        <v>45</v>
      </c>
      <c r="I115" s="8" t="s">
        <v>45</v>
      </c>
      <c r="J115" s="8" t="s">
        <v>536</v>
      </c>
      <c r="K115" s="8" t="s">
        <v>127</v>
      </c>
      <c r="L115" s="9" t="n">
        <v>9</v>
      </c>
      <c r="M115" s="10" t="n">
        <v>34</v>
      </c>
      <c r="N115" s="11" t="n">
        <f aca="false">IFERROR(L115/M115,"")</f>
        <v>0.264705882352941</v>
      </c>
      <c r="O115" s="12" t="s">
        <v>48</v>
      </c>
      <c r="P115" s="12" t="str">
        <f aca="false">IF(N115="","",IF(N115&gt;0.32,"Reprice or resource",IF(N115&lt;0.2,"Check cost is realistic","OK")))</f>
        <v>OK</v>
      </c>
    </row>
    <row r="116" customFormat="false" ht="23.85" hidden="false" customHeight="false" outlineLevel="0" collapsed="false">
      <c r="A116" s="8" t="n">
        <v>115</v>
      </c>
      <c r="B116" s="8" t="s">
        <v>537</v>
      </c>
      <c r="C116" s="8" t="s">
        <v>538</v>
      </c>
      <c r="D116" s="8" t="s">
        <v>149</v>
      </c>
      <c r="E116" s="8" t="s">
        <v>42</v>
      </c>
      <c r="F116" s="8" t="s">
        <v>539</v>
      </c>
      <c r="G116" s="8" t="s">
        <v>87</v>
      </c>
      <c r="H116" s="8" t="s">
        <v>99</v>
      </c>
      <c r="I116" s="8" t="s">
        <v>99</v>
      </c>
      <c r="J116" s="8" t="s">
        <v>540</v>
      </c>
      <c r="K116" s="8" t="s">
        <v>94</v>
      </c>
      <c r="L116" s="9" t="n">
        <v>4</v>
      </c>
      <c r="M116" s="10" t="n">
        <v>15</v>
      </c>
      <c r="N116" s="11" t="n">
        <f aca="false">IFERROR(L116/M116,"")</f>
        <v>0.266666666666667</v>
      </c>
      <c r="O116" s="12" t="s">
        <v>48</v>
      </c>
      <c r="P116" s="12" t="str">
        <f aca="false">IF(N116="","",IF(N116&gt;0.32,"Reprice or resource",IF(N116&lt;0.2,"Check cost is realistic","OK")))</f>
        <v>OK</v>
      </c>
    </row>
    <row r="117" customFormat="false" ht="23.85" hidden="false" customHeight="false" outlineLevel="0" collapsed="false">
      <c r="A117" s="8" t="n">
        <v>116</v>
      </c>
      <c r="B117" s="8" t="s">
        <v>541</v>
      </c>
      <c r="C117" s="8" t="s">
        <v>542</v>
      </c>
      <c r="D117" s="8" t="s">
        <v>149</v>
      </c>
      <c r="E117" s="8" t="s">
        <v>374</v>
      </c>
      <c r="F117" s="8" t="s">
        <v>543</v>
      </c>
      <c r="G117" s="8" t="s">
        <v>44</v>
      </c>
      <c r="H117" s="8" t="s">
        <v>45</v>
      </c>
      <c r="I117" s="8" t="s">
        <v>99</v>
      </c>
      <c r="J117" s="8" t="s">
        <v>544</v>
      </c>
      <c r="K117" s="8" t="s">
        <v>146</v>
      </c>
      <c r="L117" s="9" t="n">
        <v>3.4</v>
      </c>
      <c r="M117" s="10" t="n">
        <v>13</v>
      </c>
      <c r="N117" s="11" t="n">
        <f aca="false">IFERROR(L117/M117,"")</f>
        <v>0.261538461538462</v>
      </c>
      <c r="O117" s="12" t="s">
        <v>48</v>
      </c>
      <c r="P117" s="12" t="str">
        <f aca="false">IF(N117="","",IF(N117&gt;0.32,"Reprice or resource",IF(N117&lt;0.2,"Check cost is realistic","OK")))</f>
        <v>OK</v>
      </c>
    </row>
    <row r="118" customFormat="false" ht="23.85" hidden="false" customHeight="false" outlineLevel="0" collapsed="false">
      <c r="A118" s="8" t="n">
        <v>117</v>
      </c>
      <c r="B118" s="8" t="s">
        <v>545</v>
      </c>
      <c r="C118" s="8" t="s">
        <v>546</v>
      </c>
      <c r="D118" s="8" t="s">
        <v>97</v>
      </c>
      <c r="E118" s="8" t="s">
        <v>249</v>
      </c>
      <c r="F118" s="8" t="s">
        <v>547</v>
      </c>
      <c r="G118" s="8" t="s">
        <v>44</v>
      </c>
      <c r="H118" s="8" t="s">
        <v>45</v>
      </c>
      <c r="I118" s="8" t="s">
        <v>99</v>
      </c>
      <c r="J118" s="8" t="s">
        <v>548</v>
      </c>
      <c r="K118" s="8" t="s">
        <v>94</v>
      </c>
      <c r="L118" s="9" t="n">
        <v>1.2</v>
      </c>
      <c r="M118" s="10" t="n">
        <v>7</v>
      </c>
      <c r="N118" s="11" t="n">
        <f aca="false">IFERROR(L118/M118,"")</f>
        <v>0.171428571428571</v>
      </c>
      <c r="O118" s="12" t="s">
        <v>48</v>
      </c>
      <c r="P118" s="12" t="str">
        <f aca="false">IF(N118="","",IF(N118&gt;0.32,"Reprice or resource",IF(N118&lt;0.2,"Check cost is realistic","OK")))</f>
        <v>Check cost is realistic</v>
      </c>
    </row>
    <row r="119" customFormat="false" ht="23.85" hidden="false" customHeight="false" outlineLevel="0" collapsed="false">
      <c r="A119" s="8" t="n">
        <v>118</v>
      </c>
      <c r="B119" s="8" t="s">
        <v>549</v>
      </c>
      <c r="C119" s="8" t="s">
        <v>241</v>
      </c>
      <c r="D119" s="8" t="s">
        <v>97</v>
      </c>
      <c r="E119" s="8" t="s">
        <v>169</v>
      </c>
      <c r="F119" s="8" t="s">
        <v>550</v>
      </c>
      <c r="G119" s="8" t="s">
        <v>44</v>
      </c>
      <c r="H119" s="8" t="s">
        <v>45</v>
      </c>
      <c r="I119" s="8" t="s">
        <v>45</v>
      </c>
      <c r="J119" s="8" t="s">
        <v>551</v>
      </c>
      <c r="K119" s="8" t="s">
        <v>58</v>
      </c>
      <c r="L119" s="9" t="n">
        <v>13</v>
      </c>
      <c r="M119" s="10" t="n">
        <v>46</v>
      </c>
      <c r="N119" s="11" t="n">
        <f aca="false">IFERROR(L119/M119,"")</f>
        <v>0.282608695652174</v>
      </c>
      <c r="O119" s="12" t="s">
        <v>48</v>
      </c>
      <c r="P119" s="12" t="str">
        <f aca="false">IF(N119="","",IF(N119&gt;0.32,"Reprice or resource",IF(N119&lt;0.2,"Check cost is realistic","OK")))</f>
        <v>OK</v>
      </c>
    </row>
    <row r="120" customFormat="false" ht="23.85" hidden="false" customHeight="false" outlineLevel="0" collapsed="false">
      <c r="A120" s="8" t="n">
        <v>119</v>
      </c>
      <c r="B120" s="8" t="s">
        <v>552</v>
      </c>
      <c r="C120" s="8" t="s">
        <v>553</v>
      </c>
      <c r="D120" s="8" t="s">
        <v>97</v>
      </c>
      <c r="E120" s="8" t="s">
        <v>169</v>
      </c>
      <c r="F120" s="8" t="s">
        <v>554</v>
      </c>
      <c r="G120" s="8" t="s">
        <v>179</v>
      </c>
      <c r="H120" s="8" t="s">
        <v>45</v>
      </c>
      <c r="I120" s="8" t="s">
        <v>45</v>
      </c>
      <c r="J120" s="8" t="s">
        <v>555</v>
      </c>
      <c r="K120" s="8" t="s">
        <v>117</v>
      </c>
      <c r="L120" s="9" t="n">
        <v>9</v>
      </c>
      <c r="M120" s="10" t="n">
        <v>32</v>
      </c>
      <c r="N120" s="11" t="n">
        <f aca="false">IFERROR(L120/M120,"")</f>
        <v>0.28125</v>
      </c>
      <c r="O120" s="12" t="s">
        <v>48</v>
      </c>
      <c r="P120" s="12" t="str">
        <f aca="false">IF(N120="","",IF(N120&gt;0.32,"Reprice or resource",IF(N120&lt;0.2,"Check cost is realistic","OK")))</f>
        <v>OK</v>
      </c>
    </row>
    <row r="121" customFormat="false" ht="23.85" hidden="false" customHeight="false" outlineLevel="0" collapsed="false">
      <c r="A121" s="8" t="n">
        <v>120</v>
      </c>
      <c r="B121" s="8" t="s">
        <v>556</v>
      </c>
      <c r="C121" s="8" t="s">
        <v>557</v>
      </c>
      <c r="D121" s="8" t="s">
        <v>97</v>
      </c>
      <c r="E121" s="8" t="s">
        <v>249</v>
      </c>
      <c r="F121" s="8" t="s">
        <v>558</v>
      </c>
      <c r="G121" s="8" t="s">
        <v>44</v>
      </c>
      <c r="H121" s="8" t="s">
        <v>45</v>
      </c>
      <c r="I121" s="8" t="s">
        <v>99</v>
      </c>
      <c r="J121" s="8" t="s">
        <v>559</v>
      </c>
      <c r="K121" s="8" t="s">
        <v>262</v>
      </c>
      <c r="L121" s="9" t="n">
        <v>1</v>
      </c>
      <c r="M121" s="10" t="n">
        <v>6</v>
      </c>
      <c r="N121" s="11" t="n">
        <f aca="false">IFERROR(L121/M121,"")</f>
        <v>0.166666666666667</v>
      </c>
      <c r="O121" s="12" t="s">
        <v>48</v>
      </c>
      <c r="P121" s="12" t="str">
        <f aca="false">IF(N121="","",IF(N121&gt;0.32,"Reprice or resource",IF(N121&lt;0.2,"Check cost is realistic","OK")))</f>
        <v>Check cost is realistic</v>
      </c>
    </row>
    <row r="122" customFormat="false" ht="15" hidden="false" customHeight="false" outlineLevel="0" collapsed="false">
      <c r="A122" s="8" t="n">
        <v>121</v>
      </c>
      <c r="B122" s="8" t="s">
        <v>560</v>
      </c>
      <c r="C122" s="8" t="s">
        <v>561</v>
      </c>
      <c r="D122" s="8" t="s">
        <v>97</v>
      </c>
      <c r="E122" s="8" t="s">
        <v>249</v>
      </c>
      <c r="F122" s="8" t="s">
        <v>562</v>
      </c>
      <c r="G122" s="8" t="s">
        <v>44</v>
      </c>
      <c r="H122" s="8" t="s">
        <v>45</v>
      </c>
      <c r="I122" s="8" t="s">
        <v>99</v>
      </c>
      <c r="J122" s="8" t="s">
        <v>563</v>
      </c>
      <c r="K122" s="8" t="s">
        <v>94</v>
      </c>
      <c r="L122" s="9" t="n">
        <v>2.6</v>
      </c>
      <c r="M122" s="10" t="n">
        <v>11</v>
      </c>
      <c r="N122" s="11" t="n">
        <f aca="false">IFERROR(L122/M122,"")</f>
        <v>0.236363636363636</v>
      </c>
      <c r="O122" s="12" t="s">
        <v>48</v>
      </c>
      <c r="P122" s="12" t="str">
        <f aca="false">IF(N122="","",IF(N122&gt;0.32,"Reprice or resource",IF(N122&lt;0.2,"Check cost is realistic","OK")))</f>
        <v>OK</v>
      </c>
    </row>
    <row r="123" customFormat="false" ht="23.85" hidden="false" customHeight="false" outlineLevel="0" collapsed="false">
      <c r="A123" s="8" t="n">
        <v>122</v>
      </c>
      <c r="B123" s="8" t="s">
        <v>564</v>
      </c>
      <c r="C123" s="8" t="s">
        <v>565</v>
      </c>
      <c r="D123" s="8" t="s">
        <v>97</v>
      </c>
      <c r="E123" s="8" t="s">
        <v>374</v>
      </c>
      <c r="F123" s="8" t="s">
        <v>566</v>
      </c>
      <c r="G123" s="8" t="s">
        <v>44</v>
      </c>
      <c r="H123" s="8" t="s">
        <v>45</v>
      </c>
      <c r="I123" s="8" t="s">
        <v>99</v>
      </c>
      <c r="J123" s="8" t="s">
        <v>567</v>
      </c>
      <c r="K123" s="8" t="s">
        <v>94</v>
      </c>
      <c r="L123" s="9" t="n">
        <v>1.4</v>
      </c>
      <c r="M123" s="10" t="n">
        <v>9</v>
      </c>
      <c r="N123" s="11" t="n">
        <f aca="false">IFERROR(L123/M123,"")</f>
        <v>0.155555555555556</v>
      </c>
      <c r="O123" s="12" t="s">
        <v>48</v>
      </c>
      <c r="P123" s="12" t="str">
        <f aca="false">IF(N123="","",IF(N123&gt;0.32,"Reprice or resource",IF(N123&lt;0.2,"Check cost is realistic","OK")))</f>
        <v>Check cost is realistic</v>
      </c>
    </row>
    <row r="124" customFormat="false" ht="15" hidden="false" customHeight="false" outlineLevel="0" collapsed="false">
      <c r="A124" s="8" t="n">
        <v>123</v>
      </c>
      <c r="B124" s="8" t="s">
        <v>568</v>
      </c>
      <c r="C124" s="8" t="s">
        <v>569</v>
      </c>
      <c r="D124" s="8" t="s">
        <v>97</v>
      </c>
      <c r="E124" s="8" t="s">
        <v>42</v>
      </c>
      <c r="F124" s="8" t="s">
        <v>570</v>
      </c>
      <c r="G124" s="8" t="s">
        <v>44</v>
      </c>
      <c r="H124" s="8" t="s">
        <v>45</v>
      </c>
      <c r="I124" s="8" t="s">
        <v>45</v>
      </c>
      <c r="J124" s="8" t="s">
        <v>571</v>
      </c>
      <c r="K124" s="8" t="s">
        <v>63</v>
      </c>
      <c r="L124" s="9" t="n">
        <v>5</v>
      </c>
      <c r="M124" s="10" t="n">
        <v>18</v>
      </c>
      <c r="N124" s="11" t="n">
        <f aca="false">IFERROR(L124/M124,"")</f>
        <v>0.277777777777778</v>
      </c>
      <c r="O124" s="12" t="s">
        <v>48</v>
      </c>
      <c r="P124" s="12" t="str">
        <f aca="false">IF(N124="","",IF(N124&gt;0.32,"Reprice or resource",IF(N124&lt;0.2,"Check cost is realistic","OK")))</f>
        <v>OK</v>
      </c>
    </row>
    <row r="125" customFormat="false" ht="23.85" hidden="false" customHeight="false" outlineLevel="0" collapsed="false">
      <c r="A125" s="8" t="n">
        <v>124</v>
      </c>
      <c r="B125" s="8" t="s">
        <v>572</v>
      </c>
      <c r="C125" s="8" t="s">
        <v>573</v>
      </c>
      <c r="D125" s="8" t="s">
        <v>139</v>
      </c>
      <c r="E125" s="8" t="s">
        <v>42</v>
      </c>
      <c r="F125" s="8" t="s">
        <v>574</v>
      </c>
      <c r="G125" s="8" t="s">
        <v>44</v>
      </c>
      <c r="H125" s="8" t="s">
        <v>45</v>
      </c>
      <c r="I125" s="8" t="s">
        <v>45</v>
      </c>
      <c r="J125" s="8" t="s">
        <v>575</v>
      </c>
      <c r="K125" s="8" t="s">
        <v>214</v>
      </c>
      <c r="L125" s="9" t="n">
        <v>2.6</v>
      </c>
      <c r="M125" s="10" t="n">
        <v>10</v>
      </c>
      <c r="N125" s="11" t="n">
        <f aca="false">IFERROR(L125/M125,"")</f>
        <v>0.26</v>
      </c>
      <c r="O125" s="12" t="s">
        <v>48</v>
      </c>
      <c r="P125" s="12" t="str">
        <f aca="false">IF(N125="","",IF(N125&gt;0.32,"Reprice or resource",IF(N125&lt;0.2,"Check cost is realistic","OK")))</f>
        <v>OK</v>
      </c>
    </row>
    <row r="126" customFormat="false" ht="23.85" hidden="false" customHeight="false" outlineLevel="0" collapsed="false">
      <c r="A126" s="8" t="n">
        <v>125</v>
      </c>
      <c r="B126" s="8" t="s">
        <v>576</v>
      </c>
      <c r="C126" s="8" t="s">
        <v>577</v>
      </c>
      <c r="D126" s="8" t="s">
        <v>139</v>
      </c>
      <c r="E126" s="8" t="s">
        <v>42</v>
      </c>
      <c r="F126" s="8" t="s">
        <v>578</v>
      </c>
      <c r="G126" s="8" t="s">
        <v>44</v>
      </c>
      <c r="H126" s="8" t="s">
        <v>45</v>
      </c>
      <c r="I126" s="8" t="s">
        <v>45</v>
      </c>
      <c r="J126" s="8" t="s">
        <v>579</v>
      </c>
      <c r="K126" s="8" t="s">
        <v>78</v>
      </c>
      <c r="L126" s="9" t="n">
        <v>3</v>
      </c>
      <c r="M126" s="10" t="n">
        <v>11</v>
      </c>
      <c r="N126" s="11" t="n">
        <f aca="false">IFERROR(L126/M126,"")</f>
        <v>0.272727272727273</v>
      </c>
      <c r="O126" s="12" t="s">
        <v>48</v>
      </c>
      <c r="P126" s="12" t="str">
        <f aca="false">IF(N126="","",IF(N126&gt;0.32,"Reprice or resource",IF(N126&lt;0.2,"Check cost is realistic","OK")))</f>
        <v>OK</v>
      </c>
    </row>
    <row r="127" customFormat="false" ht="23.85" hidden="false" customHeight="false" outlineLevel="0" collapsed="false">
      <c r="A127" s="8" t="n">
        <v>126</v>
      </c>
      <c r="B127" s="8" t="s">
        <v>580</v>
      </c>
      <c r="C127" s="8" t="s">
        <v>581</v>
      </c>
      <c r="D127" s="8" t="s">
        <v>139</v>
      </c>
      <c r="E127" s="8" t="s">
        <v>249</v>
      </c>
      <c r="F127" s="8" t="s">
        <v>582</v>
      </c>
      <c r="G127" s="8" t="s">
        <v>179</v>
      </c>
      <c r="H127" s="8" t="s">
        <v>45</v>
      </c>
      <c r="I127" s="8" t="s">
        <v>99</v>
      </c>
      <c r="J127" s="8" t="s">
        <v>583</v>
      </c>
      <c r="K127" s="8" t="s">
        <v>94</v>
      </c>
      <c r="L127" s="9" t="n">
        <v>3</v>
      </c>
      <c r="M127" s="10" t="n">
        <v>12</v>
      </c>
      <c r="N127" s="11" t="n">
        <f aca="false">IFERROR(L127/M127,"")</f>
        <v>0.25</v>
      </c>
      <c r="O127" s="12" t="s">
        <v>48</v>
      </c>
      <c r="P127" s="12" t="str">
        <f aca="false">IF(N127="","",IF(N127&gt;0.32,"Reprice or resource",IF(N127&lt;0.2,"Check cost is realistic","OK")))</f>
        <v>OK</v>
      </c>
    </row>
    <row r="128" customFormat="false" ht="23.85" hidden="false" customHeight="false" outlineLevel="0" collapsed="false">
      <c r="A128" s="8" t="n">
        <v>127</v>
      </c>
      <c r="B128" s="8" t="s">
        <v>584</v>
      </c>
      <c r="C128" s="8" t="s">
        <v>585</v>
      </c>
      <c r="D128" s="8" t="s">
        <v>139</v>
      </c>
      <c r="E128" s="8" t="s">
        <v>169</v>
      </c>
      <c r="F128" s="8" t="s">
        <v>586</v>
      </c>
      <c r="G128" s="8" t="s">
        <v>179</v>
      </c>
      <c r="H128" s="8" t="s">
        <v>45</v>
      </c>
      <c r="I128" s="8" t="s">
        <v>45</v>
      </c>
      <c r="J128" s="8" t="s">
        <v>587</v>
      </c>
      <c r="K128" s="8" t="s">
        <v>78</v>
      </c>
      <c r="L128" s="9" t="n">
        <v>10</v>
      </c>
      <c r="M128" s="10" t="n">
        <v>36</v>
      </c>
      <c r="N128" s="11" t="n">
        <f aca="false">IFERROR(L128/M128,"")</f>
        <v>0.277777777777778</v>
      </c>
      <c r="O128" s="12" t="s">
        <v>48</v>
      </c>
      <c r="P128" s="12" t="str">
        <f aca="false">IF(N128="","",IF(N128&gt;0.32,"Reprice or resource",IF(N128&lt;0.2,"Check cost is realistic","OK")))</f>
        <v>OK</v>
      </c>
    </row>
    <row r="129" customFormat="false" ht="23.85" hidden="false" customHeight="false" outlineLevel="0" collapsed="false">
      <c r="A129" s="8" t="n">
        <v>128</v>
      </c>
      <c r="B129" s="8" t="s">
        <v>588</v>
      </c>
      <c r="C129" s="8" t="s">
        <v>589</v>
      </c>
      <c r="D129" s="8" t="s">
        <v>139</v>
      </c>
      <c r="E129" s="8" t="s">
        <v>169</v>
      </c>
      <c r="F129" s="8" t="s">
        <v>590</v>
      </c>
      <c r="G129" s="8" t="s">
        <v>87</v>
      </c>
      <c r="H129" s="8" t="s">
        <v>45</v>
      </c>
      <c r="I129" s="8" t="s">
        <v>45</v>
      </c>
      <c r="J129" s="8" t="s">
        <v>591</v>
      </c>
      <c r="K129" s="8" t="s">
        <v>78</v>
      </c>
      <c r="L129" s="9" t="n">
        <v>11</v>
      </c>
      <c r="M129" s="10" t="n">
        <v>38</v>
      </c>
      <c r="N129" s="11" t="n">
        <f aca="false">IFERROR(L129/M129,"")</f>
        <v>0.289473684210526</v>
      </c>
      <c r="O129" s="12" t="s">
        <v>48</v>
      </c>
      <c r="P129" s="12" t="str">
        <f aca="false">IF(N129="","",IF(N129&gt;0.32,"Reprice or resource",IF(N129&lt;0.2,"Check cost is realistic","OK")))</f>
        <v>OK</v>
      </c>
    </row>
    <row r="130" customFormat="false" ht="23.85" hidden="false" customHeight="false" outlineLevel="0" collapsed="false">
      <c r="A130" s="8" t="n">
        <v>129</v>
      </c>
      <c r="B130" s="8" t="s">
        <v>592</v>
      </c>
      <c r="C130" s="8" t="s">
        <v>593</v>
      </c>
      <c r="D130" s="8" t="s">
        <v>139</v>
      </c>
      <c r="E130" s="8" t="s">
        <v>249</v>
      </c>
      <c r="F130" s="8" t="s">
        <v>594</v>
      </c>
      <c r="G130" s="8" t="s">
        <v>44</v>
      </c>
      <c r="H130" s="8" t="s">
        <v>45</v>
      </c>
      <c r="I130" s="8" t="s">
        <v>99</v>
      </c>
      <c r="J130" s="8" t="s">
        <v>595</v>
      </c>
      <c r="K130" s="8" t="s">
        <v>94</v>
      </c>
      <c r="L130" s="9" t="n">
        <v>3.4</v>
      </c>
      <c r="M130" s="10" t="n">
        <v>14</v>
      </c>
      <c r="N130" s="11" t="n">
        <f aca="false">IFERROR(L130/M130,"")</f>
        <v>0.242857142857143</v>
      </c>
      <c r="O130" s="12" t="s">
        <v>48</v>
      </c>
      <c r="P130" s="12" t="str">
        <f aca="false">IF(N130="","",IF(N130&gt;0.32,"Reprice or resource",IF(N130&lt;0.2,"Check cost is realistic","OK")))</f>
        <v>OK</v>
      </c>
    </row>
    <row r="131" customFormat="false" ht="23.85" hidden="false" customHeight="false" outlineLevel="0" collapsed="false">
      <c r="A131" s="8" t="n">
        <v>130</v>
      </c>
      <c r="B131" s="8" t="s">
        <v>596</v>
      </c>
      <c r="C131" s="8" t="s">
        <v>597</v>
      </c>
      <c r="D131" s="8" t="s">
        <v>139</v>
      </c>
      <c r="E131" s="8" t="s">
        <v>421</v>
      </c>
      <c r="F131" s="8" t="s">
        <v>598</v>
      </c>
      <c r="G131" s="8" t="s">
        <v>179</v>
      </c>
      <c r="H131" s="8" t="s">
        <v>45</v>
      </c>
      <c r="I131" s="8" t="s">
        <v>99</v>
      </c>
      <c r="J131" s="8" t="s">
        <v>599</v>
      </c>
      <c r="K131" s="8" t="s">
        <v>117</v>
      </c>
      <c r="L131" s="9" t="n">
        <v>4.4</v>
      </c>
      <c r="M131" s="10" t="n">
        <v>17</v>
      </c>
      <c r="N131" s="11" t="n">
        <f aca="false">IFERROR(L131/M131,"")</f>
        <v>0.258823529411765</v>
      </c>
      <c r="O131" s="12" t="s">
        <v>48</v>
      </c>
      <c r="P131" s="12" t="str">
        <f aca="false">IF(N131="","",IF(N131&gt;0.32,"Reprice or resource",IF(N131&lt;0.2,"Check cost is realistic","OK")))</f>
        <v>OK</v>
      </c>
    </row>
    <row r="133" customFormat="false" ht="15" hidden="false" customHeight="false" outlineLevel="0" collapsed="false">
      <c r="B133" s="3" t="s">
        <v>600</v>
      </c>
      <c r="L133" s="13" t="n">
        <f aca="false">AVERAGE(L2:L131)</f>
        <v>5.15153846153846</v>
      </c>
      <c r="M133" s="13" t="n">
        <f aca="false">AVERAGE(M2:M131)</f>
        <v>19.0076923076923</v>
      </c>
      <c r="N133" s="14" t="n">
        <f aca="false">AVERAGE(N2:N131)</f>
        <v>0.258899157457136</v>
      </c>
    </row>
    <row r="134" customFormat="false" ht="15" hidden="false" customHeight="false" outlineLevel="0" collapsed="false">
      <c r="B134" s="15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" t="s">
        <v>602</v>
      </c>
      <c r="B1" s="4"/>
      <c r="C1" s="4"/>
      <c r="D1" s="4"/>
      <c r="E1" s="4"/>
    </row>
    <row r="2" customFormat="false" ht="15" hidden="false" customHeight="false" outlineLevel="0" collapsed="false">
      <c r="A2" s="4"/>
      <c r="B2" s="4"/>
      <c r="C2" s="4"/>
      <c r="D2" s="4"/>
      <c r="E2" s="4"/>
    </row>
    <row r="3" customFormat="false" ht="15" hidden="false" customHeight="false" outlineLevel="0" collapsed="false">
      <c r="A3" s="4" t="s">
        <v>27</v>
      </c>
      <c r="B3" s="4" t="s">
        <v>603</v>
      </c>
      <c r="C3" s="4" t="s">
        <v>604</v>
      </c>
      <c r="D3" s="4" t="s">
        <v>605</v>
      </c>
      <c r="E3" s="4" t="s">
        <v>606</v>
      </c>
    </row>
    <row r="4" customFormat="false" ht="15" hidden="false" customHeight="false" outlineLevel="0" collapsed="false">
      <c r="A4" s="4" t="s">
        <v>41</v>
      </c>
      <c r="B4" s="4" t="n">
        <f aca="false">COUNTIF(Matrix!$D$2:$D$131,"Scottish")</f>
        <v>76</v>
      </c>
      <c r="C4" s="16" t="n">
        <f aca="false">IFERROR(B4/$B$13,"")</f>
        <v>0.584615384615385</v>
      </c>
      <c r="D4" s="16" t="n">
        <v>0.5</v>
      </c>
      <c r="E4" s="4" t="str">
        <f aca="false">IF(C4&gt;=D4,"OK","Too few - cook more Scottish")</f>
        <v>OK</v>
      </c>
    </row>
    <row r="5" customFormat="false" ht="15" hidden="false" customHeight="false" outlineLevel="0" collapsed="false">
      <c r="A5" s="4" t="s">
        <v>207</v>
      </c>
      <c r="B5" s="4" t="n">
        <f aca="false">COUNTIF(Matrix!$D$2:$D$131,"Scottish (Glasgow)")</f>
        <v>1</v>
      </c>
      <c r="C5" s="16" t="n">
        <f aca="false">IFERROR(B5/$B$13,"")</f>
        <v>0.00769230769230769</v>
      </c>
      <c r="D5" s="4"/>
      <c r="E5" s="4"/>
    </row>
    <row r="6" customFormat="false" ht="15" hidden="false" customHeight="false" outlineLevel="0" collapsed="false">
      <c r="A6" s="4" t="s">
        <v>130</v>
      </c>
      <c r="B6" s="4" t="n">
        <f aca="false">COUNTIF(Matrix!$D$2:$D$131,"English")</f>
        <v>14</v>
      </c>
      <c r="C6" s="16" t="n">
        <f aca="false">IFERROR(B6/$B$13,"")</f>
        <v>0.107692307692308</v>
      </c>
      <c r="D6" s="16" t="n">
        <v>0.2</v>
      </c>
      <c r="E6" s="4" t="str">
        <f aca="false">IF(C6&lt;=D6,"OK","Over cap - trim")</f>
        <v>OK</v>
      </c>
    </row>
    <row r="7" customFormat="false" ht="15" hidden="false" customHeight="false" outlineLevel="0" collapsed="false">
      <c r="A7" s="4" t="s">
        <v>149</v>
      </c>
      <c r="B7" s="4" t="n">
        <f aca="false">COUNTIF(Matrix!$D$2:$D$131,"Greek")</f>
        <v>14</v>
      </c>
      <c r="C7" s="16" t="n">
        <f aca="false">IFERROR(B7/$B$13,"")</f>
        <v>0.107692307692308</v>
      </c>
      <c r="D7" s="16" t="n">
        <v>0.2</v>
      </c>
      <c r="E7" s="4" t="str">
        <f aca="false">IF(C7&lt;=D7,"OK","Over cap - trim")</f>
        <v>OK</v>
      </c>
    </row>
    <row r="8" customFormat="false" ht="15" hidden="false" customHeight="false" outlineLevel="0" collapsed="false">
      <c r="A8" s="4" t="s">
        <v>97</v>
      </c>
      <c r="B8" s="4" t="n">
        <f aca="false">COUNTIF(Matrix!$D$2:$D$131,"Nordic")</f>
        <v>12</v>
      </c>
      <c r="C8" s="16" t="n">
        <f aca="false">IFERROR(B8/$B$13,"")</f>
        <v>0.0923076923076923</v>
      </c>
      <c r="D8" s="16" t="n">
        <v>0.2</v>
      </c>
      <c r="E8" s="4" t="str">
        <f aca="false">IF(C8&lt;=D8,"OK","Over cap - trim")</f>
        <v>OK</v>
      </c>
    </row>
    <row r="9" customFormat="false" ht="15" hidden="false" customHeight="false" outlineLevel="0" collapsed="false">
      <c r="A9" s="4" t="s">
        <v>139</v>
      </c>
      <c r="B9" s="4" t="n">
        <f aca="false">COUNTIF(Matrix!$D$2:$D$131,"Basque")</f>
        <v>10</v>
      </c>
      <c r="C9" s="16" t="n">
        <f aca="false">IFERROR(B9/$B$13,"")</f>
        <v>0.0769230769230769</v>
      </c>
      <c r="D9" s="16" t="n">
        <v>0.15</v>
      </c>
      <c r="E9" s="4" t="str">
        <f aca="false">IF(C9&lt;=D9,"OK","Over cap - trim")</f>
        <v>OK</v>
      </c>
    </row>
    <row r="10" customFormat="false" ht="15" hidden="false" customHeight="false" outlineLevel="0" collapsed="false">
      <c r="A10" s="4" t="s">
        <v>120</v>
      </c>
      <c r="B10" s="4" t="n">
        <f aca="false">COUNTIF(Matrix!$D$2:$D$131,"Peruvian")</f>
        <v>2</v>
      </c>
      <c r="C10" s="16" t="n">
        <f aca="false">IFERROR(B10/$B$13,"")</f>
        <v>0.0153846153846154</v>
      </c>
      <c r="D10" s="4"/>
      <c r="E10" s="4"/>
    </row>
    <row r="11" customFormat="false" ht="15" hidden="false" customHeight="false" outlineLevel="0" collapsed="false">
      <c r="A11" s="4" t="s">
        <v>455</v>
      </c>
      <c r="B11" s="4" t="n">
        <f aca="false">COUNTIF(Matrix!$D$2:$D$131,"Disputed (Lake District / Scotland)")</f>
        <v>1</v>
      </c>
      <c r="C11" s="16" t="n">
        <f aca="false">IFERROR(B11/$B$13,"")</f>
        <v>0.00769230769230769</v>
      </c>
      <c r="D11" s="4"/>
      <c r="E11" s="4"/>
    </row>
    <row r="12" customFormat="false" ht="15" hidden="false" customHeight="false" outlineLevel="0" collapsed="false">
      <c r="A12" s="4"/>
      <c r="B12" s="4"/>
      <c r="C12" s="4"/>
      <c r="D12" s="4"/>
      <c r="E12" s="4"/>
    </row>
    <row r="13" customFormat="false" ht="15" hidden="false" customHeight="false" outlineLevel="0" collapsed="false">
      <c r="A13" s="3" t="s">
        <v>607</v>
      </c>
      <c r="B13" s="3" t="n">
        <f aca="false">SUM(B4:B11)</f>
        <v>130</v>
      </c>
      <c r="C13" s="4"/>
      <c r="D13" s="4"/>
      <c r="E13" s="4"/>
    </row>
    <row r="14" customFormat="false" ht="15" hidden="false" customHeight="false" outlineLevel="0" collapsed="false">
      <c r="A14" s="4"/>
      <c r="B14" s="4"/>
      <c r="C14" s="4"/>
      <c r="D14" s="4"/>
      <c r="E14" s="4"/>
    </row>
    <row r="15" customFormat="false" ht="15" hidden="false" customHeight="false" outlineLevel="0" collapsed="false">
      <c r="A15" s="3" t="s">
        <v>14</v>
      </c>
      <c r="B15" s="3" t="s">
        <v>603</v>
      </c>
      <c r="C15" s="4"/>
      <c r="D15" s="4"/>
      <c r="E15" s="4"/>
    </row>
    <row r="16" customFormat="false" ht="15" hidden="false" customHeight="false" outlineLevel="0" collapsed="false">
      <c r="A16" s="4" t="s">
        <v>44</v>
      </c>
      <c r="B16" s="4" t="n">
        <f aca="false">COUNTIF(Matrix!$G$2:$G$131,"Drop-off")</f>
        <v>82</v>
      </c>
      <c r="C16" s="4"/>
      <c r="D16" s="4"/>
      <c r="E16" s="4"/>
    </row>
    <row r="17" customFormat="false" ht="15" hidden="false" customHeight="false" outlineLevel="0" collapsed="false">
      <c r="A17" s="4" t="s">
        <v>179</v>
      </c>
      <c r="B17" s="4" t="n">
        <f aca="false">COUNTIF(Matrix!$G$2:$G$131,"Buffet")</f>
        <v>32</v>
      </c>
      <c r="C17" s="4"/>
      <c r="D17" s="4"/>
      <c r="E17" s="4"/>
    </row>
    <row r="18" customFormat="false" ht="15" hidden="false" customHeight="false" outlineLevel="0" collapsed="false">
      <c r="A18" s="4" t="s">
        <v>171</v>
      </c>
      <c r="B18" s="4" t="n">
        <f aca="false">COUNTIF(Matrix!$G$2:$G$131,"Plated")</f>
        <v>5</v>
      </c>
      <c r="C18" s="4"/>
      <c r="D18" s="4"/>
      <c r="E18" s="4"/>
    </row>
    <row r="19" customFormat="false" ht="15" hidden="false" customHeight="false" outlineLevel="0" collapsed="false">
      <c r="A19" s="4" t="s">
        <v>87</v>
      </c>
      <c r="B19" s="4" t="n">
        <f aca="false">COUNTIF(Matrix!$G$2:$G$131,"Live station")</f>
        <v>11</v>
      </c>
      <c r="C19" s="4"/>
      <c r="D19" s="4"/>
      <c r="E19" s="4"/>
    </row>
    <row r="20" customFormat="false" ht="15" hidden="false" customHeight="false" outlineLevel="0" collapsed="false">
      <c r="A20" s="4"/>
      <c r="B20" s="4"/>
      <c r="C20" s="4"/>
      <c r="D20" s="4"/>
      <c r="E20" s="4"/>
    </row>
    <row r="21" customFormat="false" ht="15" hidden="false" customHeight="false" outlineLevel="0" collapsed="false">
      <c r="A21" s="3" t="s">
        <v>608</v>
      </c>
      <c r="B21" s="3" t="n">
        <f aca="false">COUNTIF(Matrix!$H$2:$H$131,"No")</f>
        <v>115</v>
      </c>
      <c r="C21" s="4"/>
      <c r="D21" s="4"/>
      <c r="E21" s="4"/>
    </row>
    <row r="22" customFormat="false" ht="15" hidden="false" customHeight="false" outlineLevel="0" collapsed="false">
      <c r="A22" s="3" t="s">
        <v>609</v>
      </c>
      <c r="B22" s="3" t="n">
        <f aca="false">COUNTIF(Matrix!$I$2:$I$131,"Yes")</f>
        <v>65</v>
      </c>
      <c r="C22" s="4"/>
      <c r="D22" s="4"/>
      <c r="E22" s="4"/>
    </row>
    <row r="23" customFormat="false" ht="15" hidden="false" customHeight="false" outlineLevel="0" collapsed="false">
      <c r="A23" s="4"/>
      <c r="B23" s="4"/>
      <c r="C23" s="4"/>
      <c r="D23" s="4"/>
      <c r="E23" s="4"/>
    </row>
    <row r="24" customFormat="false" ht="15" hidden="false" customHeight="false" outlineLevel="0" collapsed="false">
      <c r="A24" s="3" t="s">
        <v>610</v>
      </c>
      <c r="B24" s="3" t="n">
        <f aca="false">COUNTIF(Matrix!$O$2:$O$131,"No - estimate")</f>
        <v>130</v>
      </c>
      <c r="C24" s="4" t="s">
        <v>611</v>
      </c>
      <c r="D24" s="4"/>
      <c r="E2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  <col collapsed="false" customWidth="true" hidden="false" outlineLevel="0" max="4" min="3" style="0" width="52"/>
  </cols>
  <sheetData>
    <row r="1" customFormat="false" ht="15" hidden="false" customHeight="false" outlineLevel="0" collapsed="false">
      <c r="A1" s="17" t="s">
        <v>612</v>
      </c>
      <c r="B1" s="17" t="s">
        <v>613</v>
      </c>
      <c r="C1" s="17" t="s">
        <v>614</v>
      </c>
      <c r="D1" s="17" t="s">
        <v>615</v>
      </c>
    </row>
    <row r="2" customFormat="false" ht="23.85" hidden="false" customHeight="false" outlineLevel="0" collapsed="false">
      <c r="A2" s="2" t="s">
        <v>616</v>
      </c>
      <c r="B2" s="2" t="s">
        <v>617</v>
      </c>
      <c r="C2" s="2" t="s">
        <v>618</v>
      </c>
      <c r="D2" s="2" t="s">
        <v>619</v>
      </c>
    </row>
    <row r="3" customFormat="false" ht="23.85" hidden="false" customHeight="false" outlineLevel="0" collapsed="false">
      <c r="A3" s="2" t="s">
        <v>620</v>
      </c>
      <c r="B3" s="2" t="s">
        <v>621</v>
      </c>
      <c r="C3" s="2" t="s">
        <v>622</v>
      </c>
      <c r="D3" s="2" t="s">
        <v>623</v>
      </c>
    </row>
    <row r="4" customFormat="false" ht="15" hidden="false" customHeight="false" outlineLevel="0" collapsed="false">
      <c r="A4" s="2" t="s">
        <v>624</v>
      </c>
      <c r="B4" s="2" t="s">
        <v>625</v>
      </c>
      <c r="C4" s="2" t="s">
        <v>626</v>
      </c>
      <c r="D4" s="2" t="s">
        <v>627</v>
      </c>
    </row>
    <row r="5" customFormat="false" ht="15" hidden="false" customHeight="false" outlineLevel="0" collapsed="false">
      <c r="A5" s="2" t="s">
        <v>262</v>
      </c>
      <c r="B5" s="2" t="s">
        <v>628</v>
      </c>
      <c r="C5" s="2" t="s">
        <v>629</v>
      </c>
      <c r="D5" s="2" t="s">
        <v>630</v>
      </c>
    </row>
    <row r="6" customFormat="false" ht="15" hidden="false" customHeight="false" outlineLevel="0" collapsed="false">
      <c r="A6" s="2" t="s">
        <v>173</v>
      </c>
      <c r="B6" s="2" t="s">
        <v>631</v>
      </c>
      <c r="C6" s="2" t="s">
        <v>632</v>
      </c>
      <c r="D6" s="2" t="s">
        <v>633</v>
      </c>
    </row>
    <row r="7" customFormat="false" ht="15" hidden="false" customHeight="false" outlineLevel="0" collapsed="false">
      <c r="A7" s="2" t="s">
        <v>634</v>
      </c>
      <c r="B7" s="2" t="s">
        <v>635</v>
      </c>
      <c r="C7" s="2" t="s">
        <v>636</v>
      </c>
      <c r="D7" s="2" t="s">
        <v>637</v>
      </c>
    </row>
    <row r="8" customFormat="false" ht="23.85" hidden="false" customHeight="false" outlineLevel="0" collapsed="false">
      <c r="A8" s="2" t="s">
        <v>638</v>
      </c>
      <c r="B8" s="2" t="s">
        <v>639</v>
      </c>
      <c r="C8" s="2" t="s">
        <v>640</v>
      </c>
      <c r="D8" s="2" t="s">
        <v>641</v>
      </c>
    </row>
    <row r="9" customFormat="false" ht="23.85" hidden="false" customHeight="false" outlineLevel="0" collapsed="false">
      <c r="A9" s="2" t="s">
        <v>642</v>
      </c>
      <c r="B9" s="2" t="s">
        <v>643</v>
      </c>
      <c r="C9" s="2" t="s">
        <v>644</v>
      </c>
      <c r="D9" s="2" t="s">
        <v>645</v>
      </c>
    </row>
    <row r="10" customFormat="false" ht="15" hidden="false" customHeight="false" outlineLevel="0" collapsed="false">
      <c r="A10" s="2" t="s">
        <v>646</v>
      </c>
      <c r="B10" s="2" t="s">
        <v>647</v>
      </c>
      <c r="C10" s="2" t="s">
        <v>648</v>
      </c>
      <c r="D10" s="2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2026-08-21T15:37:02Z</dcterms:created>
  <dc:creator>openpyxl</dc:creator>
  <dc:description/>
  <dc:language>en-US</dc:language>
  <cp:lastModifiedBy/>
  <dcterms:modified xsi:type="dcterms:W3CDTF">2026-08-21T15:37:02Z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